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he\OneDrive\Desktop\WORD\"/>
    </mc:Choice>
  </mc:AlternateContent>
  <xr:revisionPtr revIDLastSave="0" documentId="13_ncr:1_{ABAF421D-E267-465D-A38A-C76A31447737}" xr6:coauthVersionLast="47" xr6:coauthVersionMax="47" xr10:uidLastSave="{00000000-0000-0000-0000-000000000000}"/>
  <bookViews>
    <workbookView xWindow="-120" yWindow="-120" windowWidth="29040" windowHeight="15720" xr2:uid="{F0D69CEC-D60B-44F2-9704-50D54903D8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3" i="1"/>
  <c r="O4" i="1"/>
  <c r="O2" i="1"/>
  <c r="AC56" i="1" l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54" i="1"/>
  <c r="AC55" i="1"/>
  <c r="AC53" i="1"/>
  <c r="X56" i="1"/>
  <c r="X86" i="1" s="1"/>
  <c r="U57" i="1"/>
  <c r="S56" i="1"/>
  <c r="S57" i="1"/>
  <c r="S58" i="1"/>
  <c r="S59" i="1"/>
  <c r="S60" i="1"/>
  <c r="S61" i="1"/>
  <c r="S62" i="1"/>
  <c r="S63" i="1"/>
  <c r="AD63" i="1" s="1"/>
  <c r="S64" i="1"/>
  <c r="AD64" i="1" s="1"/>
  <c r="S65" i="1"/>
  <c r="AD65" i="1" s="1"/>
  <c r="S66" i="1"/>
  <c r="AD66" i="1" s="1"/>
  <c r="S67" i="1"/>
  <c r="AD67" i="1" s="1"/>
  <c r="S68" i="1"/>
  <c r="AD68" i="1" s="1"/>
  <c r="S69" i="1"/>
  <c r="AD69" i="1" s="1"/>
  <c r="S70" i="1"/>
  <c r="AD70" i="1" s="1"/>
  <c r="S71" i="1"/>
  <c r="AD71" i="1" s="1"/>
  <c r="S72" i="1"/>
  <c r="S73" i="1"/>
  <c r="S74" i="1"/>
  <c r="AD74" i="1" s="1"/>
  <c r="S75" i="1"/>
  <c r="AD75" i="1" s="1"/>
  <c r="S76" i="1"/>
  <c r="AD76" i="1" s="1"/>
  <c r="S77" i="1"/>
  <c r="AD77" i="1" s="1"/>
  <c r="S78" i="1"/>
  <c r="AD78" i="1" s="1"/>
  <c r="S79" i="1"/>
  <c r="AD79" i="1" s="1"/>
  <c r="S80" i="1"/>
  <c r="AD80" i="1" s="1"/>
  <c r="S81" i="1"/>
  <c r="AD81" i="1" s="1"/>
  <c r="S82" i="1"/>
  <c r="AD82" i="1" s="1"/>
  <c r="S55" i="1"/>
  <c r="S54" i="1"/>
  <c r="S53" i="1"/>
  <c r="AD72" i="1"/>
  <c r="AD73" i="1"/>
  <c r="C86" i="1"/>
  <c r="D86" i="1"/>
  <c r="E86" i="1"/>
  <c r="F86" i="1"/>
  <c r="G86" i="1"/>
  <c r="H86" i="1"/>
  <c r="I86" i="1"/>
  <c r="J86" i="1"/>
  <c r="K86" i="1"/>
  <c r="L86" i="1"/>
  <c r="M86" i="1"/>
  <c r="N86" i="1"/>
  <c r="U86" i="1"/>
  <c r="AD86" i="1"/>
  <c r="B86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55" i="1"/>
  <c r="W54" i="1"/>
  <c r="W53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55" i="1"/>
  <c r="V54" i="1"/>
  <c r="V53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Y56" i="1"/>
  <c r="Z56" i="1"/>
  <c r="AA56" i="1"/>
  <c r="AB56" i="1"/>
  <c r="Y57" i="1"/>
  <c r="Z57" i="1"/>
  <c r="AA57" i="1"/>
  <c r="AB57" i="1"/>
  <c r="Y58" i="1"/>
  <c r="Z58" i="1"/>
  <c r="AA58" i="1"/>
  <c r="AB58" i="1"/>
  <c r="Y59" i="1"/>
  <c r="Z59" i="1"/>
  <c r="AA59" i="1"/>
  <c r="AB59" i="1"/>
  <c r="Y60" i="1"/>
  <c r="Z60" i="1"/>
  <c r="AA60" i="1"/>
  <c r="AB60" i="1"/>
  <c r="Y61" i="1"/>
  <c r="Z61" i="1"/>
  <c r="AA61" i="1"/>
  <c r="AB61" i="1"/>
  <c r="Y62" i="1"/>
  <c r="Z62" i="1"/>
  <c r="AA62" i="1"/>
  <c r="AB62" i="1"/>
  <c r="Y63" i="1"/>
  <c r="Z63" i="1"/>
  <c r="AA63" i="1"/>
  <c r="AB63" i="1"/>
  <c r="Y64" i="1"/>
  <c r="Z64" i="1"/>
  <c r="AA64" i="1"/>
  <c r="AB64" i="1"/>
  <c r="Y65" i="1"/>
  <c r="Z65" i="1"/>
  <c r="AA65" i="1"/>
  <c r="AB65" i="1"/>
  <c r="Y66" i="1"/>
  <c r="Z66" i="1"/>
  <c r="AA66" i="1"/>
  <c r="AB66" i="1"/>
  <c r="Y67" i="1"/>
  <c r="Z67" i="1"/>
  <c r="AA67" i="1"/>
  <c r="AB67" i="1"/>
  <c r="Y68" i="1"/>
  <c r="Z68" i="1"/>
  <c r="AA68" i="1"/>
  <c r="AB68" i="1"/>
  <c r="Y69" i="1"/>
  <c r="Z69" i="1"/>
  <c r="AA69" i="1"/>
  <c r="AB69" i="1"/>
  <c r="Y70" i="1"/>
  <c r="Z70" i="1"/>
  <c r="AA70" i="1"/>
  <c r="AB70" i="1"/>
  <c r="Y71" i="1"/>
  <c r="Z71" i="1"/>
  <c r="AA71" i="1"/>
  <c r="AB71" i="1"/>
  <c r="Y72" i="1"/>
  <c r="Z72" i="1"/>
  <c r="AA72" i="1"/>
  <c r="AB72" i="1"/>
  <c r="Y73" i="1"/>
  <c r="Z73" i="1"/>
  <c r="AA73" i="1"/>
  <c r="AB73" i="1"/>
  <c r="Y74" i="1"/>
  <c r="Z74" i="1"/>
  <c r="AA74" i="1"/>
  <c r="AB74" i="1"/>
  <c r="Y75" i="1"/>
  <c r="Z75" i="1"/>
  <c r="AA75" i="1"/>
  <c r="AB75" i="1"/>
  <c r="Y76" i="1"/>
  <c r="Z76" i="1"/>
  <c r="AA76" i="1"/>
  <c r="AB76" i="1"/>
  <c r="Y77" i="1"/>
  <c r="Z77" i="1"/>
  <c r="AA77" i="1"/>
  <c r="AB77" i="1"/>
  <c r="Y78" i="1"/>
  <c r="Z78" i="1"/>
  <c r="AA78" i="1"/>
  <c r="AB78" i="1"/>
  <c r="Y79" i="1"/>
  <c r="Z79" i="1"/>
  <c r="AA79" i="1"/>
  <c r="AB79" i="1"/>
  <c r="Y80" i="1"/>
  <c r="Z80" i="1"/>
  <c r="AA80" i="1"/>
  <c r="AB80" i="1"/>
  <c r="Y81" i="1"/>
  <c r="Z81" i="1"/>
  <c r="AA81" i="1"/>
  <c r="AB81" i="1"/>
  <c r="Y82" i="1"/>
  <c r="Z82" i="1"/>
  <c r="AA82" i="1"/>
  <c r="AB82" i="1"/>
  <c r="Y54" i="1"/>
  <c r="Z54" i="1"/>
  <c r="AA54" i="1"/>
  <c r="AB54" i="1"/>
  <c r="Y55" i="1"/>
  <c r="Z55" i="1"/>
  <c r="AA55" i="1"/>
  <c r="AB55" i="1"/>
  <c r="AB53" i="1"/>
  <c r="AA53" i="1"/>
  <c r="Z53" i="1"/>
  <c r="P2" i="1"/>
  <c r="X54" i="1"/>
  <c r="X55" i="1"/>
  <c r="X53" i="1"/>
  <c r="Y53" i="1"/>
  <c r="O56" i="1"/>
  <c r="P56" i="1"/>
  <c r="Q56" i="1"/>
  <c r="R56" i="1"/>
  <c r="T56" i="1"/>
  <c r="U56" i="1"/>
  <c r="O57" i="1"/>
  <c r="P57" i="1"/>
  <c r="Q57" i="1"/>
  <c r="R57" i="1"/>
  <c r="T57" i="1"/>
  <c r="O58" i="1"/>
  <c r="P58" i="1"/>
  <c r="Q58" i="1"/>
  <c r="R58" i="1"/>
  <c r="T58" i="1"/>
  <c r="U58" i="1"/>
  <c r="O59" i="1"/>
  <c r="P59" i="1"/>
  <c r="Q59" i="1"/>
  <c r="R59" i="1"/>
  <c r="T59" i="1"/>
  <c r="U59" i="1"/>
  <c r="O60" i="1"/>
  <c r="P60" i="1"/>
  <c r="Q60" i="1"/>
  <c r="R60" i="1"/>
  <c r="T60" i="1"/>
  <c r="U60" i="1"/>
  <c r="O61" i="1"/>
  <c r="P61" i="1"/>
  <c r="Q61" i="1"/>
  <c r="R61" i="1"/>
  <c r="T61" i="1"/>
  <c r="U61" i="1"/>
  <c r="O62" i="1"/>
  <c r="P62" i="1"/>
  <c r="Q62" i="1"/>
  <c r="R62" i="1"/>
  <c r="T62" i="1"/>
  <c r="U62" i="1"/>
  <c r="O63" i="1"/>
  <c r="P63" i="1"/>
  <c r="Q63" i="1"/>
  <c r="R63" i="1"/>
  <c r="T63" i="1"/>
  <c r="U63" i="1"/>
  <c r="O64" i="1"/>
  <c r="P64" i="1"/>
  <c r="Q64" i="1"/>
  <c r="R64" i="1"/>
  <c r="T64" i="1"/>
  <c r="U64" i="1"/>
  <c r="O65" i="1"/>
  <c r="P65" i="1"/>
  <c r="Q65" i="1"/>
  <c r="R65" i="1"/>
  <c r="T65" i="1"/>
  <c r="U65" i="1"/>
  <c r="O66" i="1"/>
  <c r="P66" i="1"/>
  <c r="Q66" i="1"/>
  <c r="R66" i="1"/>
  <c r="T66" i="1"/>
  <c r="U66" i="1"/>
  <c r="O67" i="1"/>
  <c r="P67" i="1"/>
  <c r="Q67" i="1"/>
  <c r="R67" i="1"/>
  <c r="T67" i="1"/>
  <c r="U67" i="1"/>
  <c r="O68" i="1"/>
  <c r="P68" i="1"/>
  <c r="Q68" i="1"/>
  <c r="R68" i="1"/>
  <c r="T68" i="1"/>
  <c r="U68" i="1"/>
  <c r="O69" i="1"/>
  <c r="P69" i="1"/>
  <c r="Q69" i="1"/>
  <c r="R69" i="1"/>
  <c r="T69" i="1"/>
  <c r="U69" i="1"/>
  <c r="O70" i="1"/>
  <c r="P70" i="1"/>
  <c r="Q70" i="1"/>
  <c r="R70" i="1"/>
  <c r="T70" i="1"/>
  <c r="U70" i="1"/>
  <c r="O71" i="1"/>
  <c r="P71" i="1"/>
  <c r="Q71" i="1"/>
  <c r="R71" i="1"/>
  <c r="T71" i="1"/>
  <c r="U71" i="1"/>
  <c r="O72" i="1"/>
  <c r="P72" i="1"/>
  <c r="Q72" i="1"/>
  <c r="R72" i="1"/>
  <c r="T72" i="1"/>
  <c r="U72" i="1"/>
  <c r="O73" i="1"/>
  <c r="P73" i="1"/>
  <c r="Q73" i="1"/>
  <c r="R73" i="1"/>
  <c r="T73" i="1"/>
  <c r="U73" i="1"/>
  <c r="O74" i="1"/>
  <c r="P74" i="1"/>
  <c r="Q74" i="1"/>
  <c r="R74" i="1"/>
  <c r="T74" i="1"/>
  <c r="U74" i="1"/>
  <c r="O75" i="1"/>
  <c r="P75" i="1"/>
  <c r="Q75" i="1"/>
  <c r="R75" i="1"/>
  <c r="T75" i="1"/>
  <c r="U75" i="1"/>
  <c r="O76" i="1"/>
  <c r="P76" i="1"/>
  <c r="Q76" i="1"/>
  <c r="R76" i="1"/>
  <c r="T76" i="1"/>
  <c r="U76" i="1"/>
  <c r="O77" i="1"/>
  <c r="P77" i="1"/>
  <c r="Q77" i="1"/>
  <c r="R77" i="1"/>
  <c r="T77" i="1"/>
  <c r="U77" i="1"/>
  <c r="O78" i="1"/>
  <c r="P78" i="1"/>
  <c r="Q78" i="1"/>
  <c r="R78" i="1"/>
  <c r="T78" i="1"/>
  <c r="U78" i="1"/>
  <c r="O79" i="1"/>
  <c r="P79" i="1"/>
  <c r="Q79" i="1"/>
  <c r="R79" i="1"/>
  <c r="T79" i="1"/>
  <c r="U79" i="1"/>
  <c r="O80" i="1"/>
  <c r="P80" i="1"/>
  <c r="Q80" i="1"/>
  <c r="R80" i="1"/>
  <c r="T80" i="1"/>
  <c r="U80" i="1"/>
  <c r="O81" i="1"/>
  <c r="P81" i="1"/>
  <c r="Q81" i="1"/>
  <c r="R81" i="1"/>
  <c r="T81" i="1"/>
  <c r="U81" i="1"/>
  <c r="O82" i="1"/>
  <c r="P82" i="1"/>
  <c r="Q82" i="1"/>
  <c r="R82" i="1"/>
  <c r="T82" i="1"/>
  <c r="U82" i="1"/>
  <c r="O55" i="1"/>
  <c r="P55" i="1"/>
  <c r="Q55" i="1"/>
  <c r="R55" i="1"/>
  <c r="T55" i="1"/>
  <c r="U55" i="1"/>
  <c r="O54" i="1"/>
  <c r="P54" i="1"/>
  <c r="Q54" i="1"/>
  <c r="R54" i="1"/>
  <c r="T54" i="1"/>
  <c r="U54" i="1"/>
  <c r="U53" i="1"/>
  <c r="T53" i="1"/>
  <c r="R53" i="1"/>
  <c r="Q53" i="1"/>
  <c r="P53" i="1"/>
  <c r="O53" i="1"/>
  <c r="Z50" i="1"/>
  <c r="P7" i="1"/>
  <c r="C50" i="1"/>
  <c r="D50" i="1"/>
  <c r="E50" i="1"/>
  <c r="F50" i="1"/>
  <c r="G50" i="1"/>
  <c r="H50" i="1"/>
  <c r="I50" i="1"/>
  <c r="U50" i="1"/>
  <c r="W50" i="1"/>
  <c r="B50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3" i="1"/>
  <c r="T4" i="1"/>
  <c r="T2" i="1"/>
  <c r="P5" i="1"/>
  <c r="Q5" i="1"/>
  <c r="R5" i="1"/>
  <c r="S5" i="1"/>
  <c r="P6" i="1"/>
  <c r="Q6" i="1"/>
  <c r="R6" i="1"/>
  <c r="S6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J2" i="1"/>
  <c r="S3" i="1"/>
  <c r="S4" i="1"/>
  <c r="S2" i="1"/>
  <c r="R3" i="1"/>
  <c r="R4" i="1"/>
  <c r="R2" i="1"/>
  <c r="Q3" i="1"/>
  <c r="Q4" i="1"/>
  <c r="Q2" i="1"/>
  <c r="P4" i="1"/>
  <c r="P3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J30" i="1"/>
  <c r="K30" i="1"/>
  <c r="L30" i="1"/>
  <c r="M30" i="1"/>
  <c r="N30" i="1"/>
  <c r="J31" i="1"/>
  <c r="K31" i="1"/>
  <c r="L31" i="1"/>
  <c r="M31" i="1"/>
  <c r="N31" i="1"/>
  <c r="J32" i="1"/>
  <c r="K32" i="1"/>
  <c r="L32" i="1"/>
  <c r="M32" i="1"/>
  <c r="N32" i="1"/>
  <c r="J33" i="1"/>
  <c r="K33" i="1"/>
  <c r="L33" i="1"/>
  <c r="M33" i="1"/>
  <c r="N33" i="1"/>
  <c r="J34" i="1"/>
  <c r="K34" i="1"/>
  <c r="L34" i="1"/>
  <c r="M34" i="1"/>
  <c r="N34" i="1"/>
  <c r="J35" i="1"/>
  <c r="K35" i="1"/>
  <c r="L35" i="1"/>
  <c r="M35" i="1"/>
  <c r="N35" i="1"/>
  <c r="J36" i="1"/>
  <c r="K36" i="1"/>
  <c r="L36" i="1"/>
  <c r="M36" i="1"/>
  <c r="N36" i="1"/>
  <c r="J37" i="1"/>
  <c r="K37" i="1"/>
  <c r="L37" i="1"/>
  <c r="M37" i="1"/>
  <c r="N37" i="1"/>
  <c r="J38" i="1"/>
  <c r="K38" i="1"/>
  <c r="L38" i="1"/>
  <c r="M38" i="1"/>
  <c r="N38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/>
  <c r="M41" i="1"/>
  <c r="N41" i="1"/>
  <c r="J42" i="1"/>
  <c r="K42" i="1"/>
  <c r="L42" i="1"/>
  <c r="M42" i="1"/>
  <c r="N42" i="1"/>
  <c r="J43" i="1"/>
  <c r="K43" i="1"/>
  <c r="L43" i="1"/>
  <c r="M43" i="1"/>
  <c r="N43" i="1"/>
  <c r="J44" i="1"/>
  <c r="K44" i="1"/>
  <c r="L44" i="1"/>
  <c r="M44" i="1"/>
  <c r="N44" i="1"/>
  <c r="J45" i="1"/>
  <c r="K45" i="1"/>
  <c r="L45" i="1"/>
  <c r="M45" i="1"/>
  <c r="N45" i="1"/>
  <c r="J46" i="1"/>
  <c r="K46" i="1"/>
  <c r="L46" i="1"/>
  <c r="M46" i="1"/>
  <c r="N46" i="1"/>
  <c r="J47" i="1"/>
  <c r="K47" i="1"/>
  <c r="L47" i="1"/>
  <c r="M47" i="1"/>
  <c r="N47" i="1"/>
  <c r="J48" i="1"/>
  <c r="K48" i="1"/>
  <c r="L48" i="1"/>
  <c r="M48" i="1"/>
  <c r="N48" i="1"/>
  <c r="J49" i="1"/>
  <c r="K49" i="1"/>
  <c r="L49" i="1"/>
  <c r="M49" i="1"/>
  <c r="N49" i="1"/>
  <c r="N3" i="1"/>
  <c r="N4" i="1"/>
  <c r="M3" i="1"/>
  <c r="M4" i="1"/>
  <c r="L3" i="1"/>
  <c r="L4" i="1"/>
  <c r="K3" i="1"/>
  <c r="K4" i="1"/>
  <c r="J3" i="1"/>
  <c r="J4" i="1"/>
  <c r="N2" i="1"/>
  <c r="K2" i="1"/>
  <c r="M2" i="1"/>
  <c r="L2" i="1"/>
  <c r="AD62" i="1" l="1"/>
  <c r="AD61" i="1"/>
  <c r="AD60" i="1"/>
  <c r="AD59" i="1"/>
  <c r="T86" i="1"/>
  <c r="V86" i="1"/>
  <c r="V36" i="1"/>
  <c r="V33" i="1"/>
  <c r="V39" i="1"/>
  <c r="V32" i="1"/>
  <c r="V48" i="1"/>
  <c r="V38" i="1"/>
  <c r="V35" i="1"/>
  <c r="V44" i="1"/>
  <c r="V28" i="1"/>
  <c r="V34" i="1"/>
  <c r="V49" i="1"/>
  <c r="V40" i="1"/>
  <c r="V17" i="1"/>
  <c r="V31" i="1"/>
  <c r="V37" i="1"/>
  <c r="V43" i="1"/>
  <c r="V27" i="1"/>
  <c r="V46" i="1"/>
  <c r="V30" i="1"/>
  <c r="V18" i="1"/>
  <c r="V42" i="1"/>
  <c r="V26" i="1"/>
  <c r="V29" i="1"/>
  <c r="V47" i="1"/>
  <c r="V45" i="1"/>
  <c r="V16" i="1"/>
  <c r="V41" i="1"/>
  <c r="V25" i="1"/>
  <c r="V23" i="1"/>
  <c r="V22" i="1"/>
  <c r="V21" i="1"/>
  <c r="V24" i="1"/>
  <c r="V20" i="1"/>
  <c r="V19" i="1"/>
  <c r="V15" i="1"/>
  <c r="V14" i="1"/>
  <c r="V13" i="1"/>
  <c r="V12" i="1"/>
  <c r="V7" i="1"/>
  <c r="V8" i="1"/>
  <c r="V11" i="1"/>
  <c r="V10" i="1"/>
  <c r="V9" i="1"/>
  <c r="V6" i="1"/>
  <c r="V5" i="1"/>
  <c r="AB86" i="1"/>
  <c r="AD57" i="1"/>
  <c r="AD53" i="1"/>
  <c r="O86" i="1"/>
  <c r="Q86" i="1"/>
  <c r="Q50" i="1"/>
  <c r="V4" i="1"/>
  <c r="V3" i="1"/>
  <c r="S50" i="1"/>
  <c r="AA86" i="1"/>
  <c r="AD58" i="1"/>
  <c r="Y86" i="1"/>
  <c r="P86" i="1"/>
  <c r="Z86" i="1"/>
  <c r="AD56" i="1"/>
  <c r="W86" i="1"/>
  <c r="AD55" i="1"/>
  <c r="M50" i="1"/>
  <c r="O50" i="1"/>
  <c r="V2" i="1"/>
  <c r="AD54" i="1"/>
  <c r="R86" i="1"/>
  <c r="S86" i="1"/>
  <c r="K50" i="1"/>
  <c r="L50" i="1"/>
  <c r="T50" i="1"/>
  <c r="R50" i="1"/>
  <c r="P50" i="1"/>
  <c r="N50" i="1"/>
  <c r="J50" i="1"/>
  <c r="AC86" i="1" l="1"/>
  <c r="V50" i="1"/>
</calcChain>
</file>

<file path=xl/sharedStrings.xml><?xml version="1.0" encoding="utf-8"?>
<sst xmlns="http://schemas.openxmlformats.org/spreadsheetml/2006/main" count="64" uniqueCount="62">
  <si>
    <t>PLAYERA
NORMAL</t>
  </si>
  <si>
    <t>PLAYERA
POLO</t>
  </si>
  <si>
    <t>CAMISOLA
CERRADA
TODA SUBLI</t>
  </si>
  <si>
    <t>CAMISOLA
CERRADA
BORDADA</t>
  </si>
  <si>
    <t>CAMISOLA
ABIERTA
TODA SUBLI</t>
  </si>
  <si>
    <t>CAMISOLA
ABIERTA
BORDADA</t>
  </si>
  <si>
    <t>GORRA</t>
  </si>
  <si>
    <t>PANTALON</t>
  </si>
  <si>
    <t>PEDIDO</t>
  </si>
  <si>
    <t>LOGOS
EXTRAS</t>
  </si>
  <si>
    <t>SHORTS</t>
  </si>
  <si>
    <t xml:space="preserve">MEDIAS </t>
  </si>
  <si>
    <t xml:space="preserve">TOTALES </t>
  </si>
  <si>
    <t>PEDIDOS</t>
  </si>
  <si>
    <t>MEDIAS</t>
  </si>
  <si>
    <t>PLAYERA
ADIDAS</t>
  </si>
  <si>
    <t>COSTURA
PLAYERA</t>
  </si>
  <si>
    <t>COSTO 
MEDIAS</t>
  </si>
  <si>
    <t>TELA MITRE</t>
  </si>
  <si>
    <t>COSTO
TELA
MITRE</t>
  </si>
  <si>
    <t>METROS 
SUBLI</t>
  </si>
  <si>
    <t>COSTO
SUBLI</t>
  </si>
  <si>
    <t>TELA NORMAL
CUELLOS
PUÑOS</t>
  </si>
  <si>
    <t>TELA POLO
CUELLOS
PUÑOS</t>
  </si>
  <si>
    <t>COSTURA
 SHORT</t>
  </si>
  <si>
    <t>COSTO LOGOS
PLAY Y SHORT</t>
  </si>
  <si>
    <t>TELA 
BOMBAY
ADIDAS</t>
  </si>
  <si>
    <t>COSTO TOTAL</t>
  </si>
  <si>
    <t>PRECIO DE VENTA</t>
  </si>
  <si>
    <t>TELA
SHORT</t>
  </si>
  <si>
    <t>GASTOS</t>
  </si>
  <si>
    <t>FECHA</t>
  </si>
  <si>
    <t>$</t>
  </si>
  <si>
    <t>COSTURA
CAMISOLA
CERADA</t>
  </si>
  <si>
    <t>COSTURA
CAMISOLA
ABIERTA</t>
  </si>
  <si>
    <t>COSTO
GORRA</t>
  </si>
  <si>
    <t>COSTURA 
PANTALON</t>
  </si>
  <si>
    <t>COSTO TELA
PANTALON</t>
  </si>
  <si>
    <t>COSTO
MEDIAS</t>
  </si>
  <si>
    <t>COSTO
BORDADO
CERRADA</t>
  </si>
  <si>
    <t>COSTO
BORDADO
ABIERTA</t>
  </si>
  <si>
    <t>CAMISOLA
ESPECIAL</t>
  </si>
  <si>
    <t>COSTO
CAMISOLA
ESPECIAL</t>
  </si>
  <si>
    <t>LOGOS
CAMISOLA
ESPECIAL</t>
  </si>
  <si>
    <t>COSTO BIES</t>
  </si>
  <si>
    <t xml:space="preserve">BIES </t>
  </si>
  <si>
    <t>TELA VISTA Y PUÑOS
CAMISOLA
ABIERTA</t>
  </si>
  <si>
    <t>SUBLIMACION</t>
  </si>
  <si>
    <t>COSTO
TELA MITRE</t>
  </si>
  <si>
    <t>COSTO
SUBLIMADO</t>
  </si>
  <si>
    <t>PUÑOS Y
CUELLOS</t>
  </si>
  <si>
    <t>TOTAL
COSTO</t>
  </si>
  <si>
    <t>VENTA</t>
  </si>
  <si>
    <t>TOTALES</t>
  </si>
  <si>
    <t>LOGOS
EXTRA X
PIEZA</t>
  </si>
  <si>
    <t>COSTO LOGOS
X PIEZA</t>
  </si>
  <si>
    <t xml:space="preserve">PARCEROS </t>
  </si>
  <si>
    <t>SECCION 46 MEDIN</t>
  </si>
  <si>
    <t xml:space="preserve">ASTURIAS </t>
  </si>
  <si>
    <t>ARGENTINA LOCAL</t>
  </si>
  <si>
    <t>PADRES</t>
  </si>
  <si>
    <t>GRAGONES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</si>
</sst>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6"/>
      <color rgb="FF9C000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9" borderId="4" applyNumberForma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49">
    <xf numFmtId="0" fontId="0" fillId="0" borderId="0" xfId="0"/>
    <xf numFmtId="0" fontId="3" fillId="3" borderId="1" xfId="3" applyBorder="1" applyAlignment="1">
      <alignment horizontal="center" vertical="center" wrapText="1"/>
    </xf>
    <xf numFmtId="0" fontId="3" fillId="3" borderId="1" xfId="3" applyBorder="1" applyAlignment="1">
      <alignment horizontal="center" vertical="center"/>
    </xf>
    <xf numFmtId="0" fontId="2" fillId="2" borderId="1" xfId="2" applyBorder="1" applyAlignment="1">
      <alignment horizontal="center" vertical="center"/>
    </xf>
    <xf numFmtId="0" fontId="1" fillId="7" borderId="1" xfId="7" applyBorder="1" applyAlignment="1">
      <alignment horizontal="center" vertical="center"/>
    </xf>
    <xf numFmtId="0" fontId="2" fillId="2" borderId="1" xfId="2" applyBorder="1" applyAlignment="1">
      <alignment horizontal="center" vertical="center" wrapText="1"/>
    </xf>
    <xf numFmtId="0" fontId="1" fillId="5" borderId="1" xfId="5" applyBorder="1"/>
    <xf numFmtId="0" fontId="1" fillId="6" borderId="1" xfId="6" applyBorder="1"/>
    <xf numFmtId="0" fontId="0" fillId="0" borderId="1" xfId="0" applyBorder="1"/>
    <xf numFmtId="44" fontId="1" fillId="5" borderId="1" xfId="1" applyFill="1" applyBorder="1"/>
    <xf numFmtId="44" fontId="1" fillId="6" borderId="1" xfId="1" applyFill="1" applyBorder="1"/>
    <xf numFmtId="44" fontId="0" fillId="0" borderId="1" xfId="1" applyFont="1" applyBorder="1"/>
    <xf numFmtId="44" fontId="1" fillId="6" borderId="1" xfId="6" applyNumberFormat="1" applyBorder="1"/>
    <xf numFmtId="44" fontId="0" fillId="0" borderId="0" xfId="1" applyFont="1"/>
    <xf numFmtId="44" fontId="1" fillId="5" borderId="2" xfId="1" applyFill="1" applyBorder="1"/>
    <xf numFmtId="44" fontId="1" fillId="6" borderId="2" xfId="6" applyNumberFormat="1" applyBorder="1"/>
    <xf numFmtId="0" fontId="2" fillId="2" borderId="3" xfId="2" applyBorder="1" applyAlignment="1">
      <alignment horizontal="center" vertical="center" wrapText="1"/>
    </xf>
    <xf numFmtId="0" fontId="4" fillId="4" borderId="1" xfId="4" applyBorder="1" applyAlignment="1">
      <alignment horizontal="center" vertical="center"/>
    </xf>
    <xf numFmtId="44" fontId="1" fillId="5" borderId="1" xfId="5" applyNumberFormat="1" applyBorder="1"/>
    <xf numFmtId="44" fontId="0" fillId="0" borderId="1" xfId="0" applyNumberFormat="1" applyBorder="1"/>
    <xf numFmtId="0" fontId="5" fillId="8" borderId="1" xfId="8" applyBorder="1" applyAlignment="1">
      <alignment horizontal="center" vertical="center"/>
    </xf>
    <xf numFmtId="44" fontId="1" fillId="5" borderId="1" xfId="1" applyFill="1" applyBorder="1" applyAlignment="1">
      <alignment horizontal="right"/>
    </xf>
    <xf numFmtId="44" fontId="1" fillId="6" borderId="1" xfId="1" applyFill="1" applyBorder="1" applyAlignment="1">
      <alignment horizontal="right"/>
    </xf>
    <xf numFmtId="44" fontId="0" fillId="0" borderId="1" xfId="1" applyFont="1" applyBorder="1" applyAlignment="1">
      <alignment horizontal="right"/>
    </xf>
    <xf numFmtId="0" fontId="0" fillId="5" borderId="1" xfId="5" applyFont="1" applyBorder="1"/>
    <xf numFmtId="44" fontId="1" fillId="7" borderId="1" xfId="1" applyFill="1" applyBorder="1" applyAlignment="1">
      <alignment horizontal="center" vertical="center"/>
    </xf>
    <xf numFmtId="0" fontId="0" fillId="6" borderId="1" xfId="6" applyFont="1" applyBorder="1"/>
    <xf numFmtId="0" fontId="2" fillId="2" borderId="2" xfId="2" applyBorder="1" applyAlignment="1">
      <alignment horizontal="center" vertical="center" wrapText="1"/>
    </xf>
    <xf numFmtId="0" fontId="1" fillId="5" borderId="0" xfId="5"/>
    <xf numFmtId="0" fontId="1" fillId="6" borderId="0" xfId="6"/>
    <xf numFmtId="0" fontId="7" fillId="3" borderId="1" xfId="3" applyFont="1" applyBorder="1" applyAlignment="1">
      <alignment horizontal="center" vertical="center"/>
    </xf>
    <xf numFmtId="14" fontId="1" fillId="5" borderId="1" xfId="5" applyNumberFormat="1" applyBorder="1"/>
    <xf numFmtId="14" fontId="1" fillId="6" borderId="1" xfId="6" applyNumberFormat="1" applyBorder="1"/>
    <xf numFmtId="14" fontId="0" fillId="0" borderId="1" xfId="0" applyNumberFormat="1" applyBorder="1"/>
    <xf numFmtId="49" fontId="1" fillId="5" borderId="1" xfId="1" applyNumberFormat="1" applyFill="1" applyBorder="1" applyAlignment="1">
      <alignment horizontal="center" vertical="center"/>
    </xf>
    <xf numFmtId="49" fontId="0" fillId="6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6" fillId="9" borderId="4" xfId="9" applyNumberFormat="1" applyAlignment="1">
      <alignment horizontal="center" vertical="center"/>
    </xf>
    <xf numFmtId="14" fontId="6" fillId="9" borderId="4" xfId="9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4" applyBorder="1" applyAlignment="1">
      <alignment horizontal="center" vertical="center" wrapText="1"/>
    </xf>
    <xf numFmtId="0" fontId="1" fillId="10" borderId="1" xfId="10" applyBorder="1" applyAlignment="1">
      <alignment horizontal="center" vertical="center"/>
    </xf>
    <xf numFmtId="0" fontId="2" fillId="2" borderId="0" xfId="2"/>
    <xf numFmtId="0" fontId="1" fillId="11" borderId="1" xfId="11" applyBorder="1" applyAlignment="1">
      <alignment horizontal="center" vertical="center"/>
    </xf>
    <xf numFmtId="0" fontId="2" fillId="2" borderId="1" xfId="2" applyBorder="1"/>
    <xf numFmtId="44" fontId="2" fillId="2" borderId="1" xfId="1" applyFont="1" applyFill="1" applyBorder="1"/>
    <xf numFmtId="0" fontId="1" fillId="13" borderId="1" xfId="13" applyBorder="1"/>
    <xf numFmtId="0" fontId="1" fillId="12" borderId="1" xfId="12" applyBorder="1"/>
    <xf numFmtId="0" fontId="1" fillId="13" borderId="1" xfId="13" applyBorder="1" applyAlignment="1">
      <alignment horizontal="center" vertical="center"/>
    </xf>
  </cellXfs>
  <cellStyles count="14">
    <cellStyle name="20% - Énfasis1" xfId="5" builtinId="30"/>
    <cellStyle name="20% - Énfasis2" xfId="6" builtinId="34"/>
    <cellStyle name="20% - Énfasis3" xfId="7" builtinId="38"/>
    <cellStyle name="40% - Énfasis3" xfId="10" builtinId="39"/>
    <cellStyle name="40% - Énfasis4" xfId="12" builtinId="43"/>
    <cellStyle name="40% - Énfasis5" xfId="13" builtinId="47"/>
    <cellStyle name="60% - Énfasis3" xfId="11" builtinId="40"/>
    <cellStyle name="Bueno" xfId="2" builtinId="26"/>
    <cellStyle name="Celda de comprobación" xfId="9" builtinId="23"/>
    <cellStyle name="Énfasis6" xfId="8" builtinId="49"/>
    <cellStyle name="Incorrecto" xfId="3" builtinId="27"/>
    <cellStyle name="Moneda" xfId="1" builtinId="4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AE11-9BB2-4EF4-BB39-6226029B82F6}">
  <dimension ref="A1:AE86"/>
  <sheetViews>
    <sheetView tabSelected="1" topLeftCell="A43" zoomScale="70" zoomScaleNormal="70" workbookViewId="0">
      <selection activeCell="H5" sqref="H5"/>
    </sheetView>
  </sheetViews>
  <sheetFormatPr baseColWidth="10" defaultRowHeight="15" x14ac:dyDescent="0.25"/>
  <cols>
    <col min="1" max="1" width="40.140625" customWidth="1"/>
    <col min="2" max="2" width="20" bestFit="1" customWidth="1"/>
    <col min="3" max="3" width="14.7109375" customWidth="1"/>
    <col min="4" max="4" width="14.85546875" customWidth="1"/>
    <col min="5" max="5" width="13.85546875" customWidth="1"/>
    <col min="6" max="6" width="14.28515625" customWidth="1"/>
    <col min="7" max="8" width="12.85546875" customWidth="1"/>
    <col min="9" max="9" width="14.5703125" customWidth="1"/>
    <col min="10" max="10" width="14.85546875" customWidth="1"/>
    <col min="11" max="12" width="15" customWidth="1"/>
    <col min="13" max="13" width="16.42578125" customWidth="1"/>
    <col min="14" max="14" width="14.85546875" customWidth="1"/>
    <col min="15" max="15" width="14.5703125" customWidth="1"/>
    <col min="16" max="16" width="13.85546875" customWidth="1"/>
    <col min="17" max="17" width="12.85546875" customWidth="1"/>
    <col min="18" max="18" width="14.5703125" customWidth="1"/>
    <col min="19" max="19" width="14.7109375" customWidth="1"/>
    <col min="20" max="20" width="14" customWidth="1"/>
    <col min="21" max="21" width="20" customWidth="1"/>
    <col min="22" max="22" width="19.85546875" customWidth="1"/>
    <col min="23" max="23" width="18.140625" customWidth="1"/>
    <col min="24" max="24" width="21.5703125" customWidth="1"/>
    <col min="25" max="25" width="20.42578125" customWidth="1"/>
    <col min="26" max="26" width="14.42578125" customWidth="1"/>
    <col min="27" max="27" width="16.5703125" customWidth="1"/>
    <col min="28" max="28" width="15.85546875" customWidth="1"/>
    <col min="29" max="29" width="16.28515625" customWidth="1"/>
    <col min="30" max="30" width="17.7109375" customWidth="1"/>
    <col min="31" max="31" width="16.85546875" customWidth="1"/>
  </cols>
  <sheetData>
    <row r="1" spans="1:26" ht="58.5" customHeight="1" x14ac:dyDescent="0.25">
      <c r="A1" s="2" t="s">
        <v>8</v>
      </c>
      <c r="B1" s="1" t="s">
        <v>0</v>
      </c>
      <c r="C1" s="1" t="s">
        <v>1</v>
      </c>
      <c r="D1" s="1" t="s">
        <v>15</v>
      </c>
      <c r="E1" s="1" t="s">
        <v>18</v>
      </c>
      <c r="F1" s="2" t="s">
        <v>10</v>
      </c>
      <c r="G1" s="2" t="s">
        <v>11</v>
      </c>
      <c r="H1" s="1" t="s">
        <v>9</v>
      </c>
      <c r="I1" s="1" t="s">
        <v>20</v>
      </c>
      <c r="J1" s="5" t="s">
        <v>16</v>
      </c>
      <c r="K1" s="5" t="s">
        <v>24</v>
      </c>
      <c r="L1" s="5" t="s">
        <v>17</v>
      </c>
      <c r="M1" s="5" t="s">
        <v>19</v>
      </c>
      <c r="N1" s="5" t="s">
        <v>21</v>
      </c>
      <c r="O1" s="27" t="s">
        <v>9</v>
      </c>
      <c r="P1" s="5" t="s">
        <v>22</v>
      </c>
      <c r="Q1" s="16" t="s">
        <v>23</v>
      </c>
      <c r="R1" s="5" t="s">
        <v>25</v>
      </c>
      <c r="S1" s="5" t="s">
        <v>26</v>
      </c>
      <c r="T1" s="5" t="s">
        <v>29</v>
      </c>
      <c r="U1" s="3"/>
      <c r="V1" s="17" t="s">
        <v>27</v>
      </c>
      <c r="W1" s="20" t="s">
        <v>28</v>
      </c>
      <c r="X1" s="2" t="s">
        <v>30</v>
      </c>
      <c r="Y1" s="2" t="s">
        <v>31</v>
      </c>
      <c r="Z1" s="30" t="s">
        <v>32</v>
      </c>
    </row>
    <row r="2" spans="1:26" x14ac:dyDescent="0.25">
      <c r="A2" s="24" t="s">
        <v>56</v>
      </c>
      <c r="B2" s="6">
        <v>26</v>
      </c>
      <c r="C2" s="6">
        <v>0</v>
      </c>
      <c r="D2" s="6">
        <v>0</v>
      </c>
      <c r="E2" s="46">
        <v>0</v>
      </c>
      <c r="F2" s="6">
        <v>20</v>
      </c>
      <c r="G2" s="6">
        <v>20</v>
      </c>
      <c r="H2" s="6">
        <v>0</v>
      </c>
      <c r="I2" s="47">
        <v>21.5</v>
      </c>
      <c r="J2" s="9">
        <f t="shared" ref="J2:J49" si="0">(B2+C2+D2)*30</f>
        <v>780</v>
      </c>
      <c r="K2" s="9">
        <f t="shared" ref="K2:K49" si="1">F2*24</f>
        <v>480</v>
      </c>
      <c r="L2" s="9">
        <f t="shared" ref="L2:L49" si="2">G2*27</f>
        <v>540</v>
      </c>
      <c r="M2" s="9">
        <f t="shared" ref="M2:M49" si="3">E2*40</f>
        <v>0</v>
      </c>
      <c r="N2" s="9">
        <f t="shared" ref="N2:N49" si="4">I2*45</f>
        <v>967.5</v>
      </c>
      <c r="O2" s="14">
        <f>((B2+C2+D2)*H2)*8</f>
        <v>0</v>
      </c>
      <c r="P2" s="9">
        <f>((B2+D2)*0.08)*40</f>
        <v>83.2</v>
      </c>
      <c r="Q2" s="9">
        <f>(C2*0.15)*40</f>
        <v>0</v>
      </c>
      <c r="R2" s="9">
        <f>((B2+C2+D2)*7)+(F2*10.5)</f>
        <v>392</v>
      </c>
      <c r="S2" s="9">
        <f>((D2*0.05)*30)</f>
        <v>0</v>
      </c>
      <c r="T2" s="9">
        <f>(F2*0.65)*40</f>
        <v>520</v>
      </c>
      <c r="V2" s="18">
        <f>J2+K2+L2+M2+N2+O2+P2+Q2+R2+S2+T2</f>
        <v>3762.7</v>
      </c>
      <c r="W2" s="21">
        <v>0</v>
      </c>
      <c r="X2" s="34"/>
      <c r="Y2" s="31"/>
      <c r="Z2" s="9">
        <v>0</v>
      </c>
    </row>
    <row r="3" spans="1:26" x14ac:dyDescent="0.25">
      <c r="A3" s="26" t="s">
        <v>58</v>
      </c>
      <c r="B3" s="7">
        <v>28</v>
      </c>
      <c r="C3" s="7">
        <v>0</v>
      </c>
      <c r="D3" s="7">
        <v>0</v>
      </c>
      <c r="E3" s="46">
        <v>0</v>
      </c>
      <c r="F3" s="7">
        <v>24</v>
      </c>
      <c r="G3" s="7">
        <v>24</v>
      </c>
      <c r="H3" s="7">
        <v>0</v>
      </c>
      <c r="I3" s="47">
        <v>0</v>
      </c>
      <c r="J3" s="12">
        <f t="shared" si="0"/>
        <v>840</v>
      </c>
      <c r="K3" s="12">
        <f t="shared" si="1"/>
        <v>576</v>
      </c>
      <c r="L3" s="12">
        <f t="shared" si="2"/>
        <v>648</v>
      </c>
      <c r="M3" s="12">
        <f t="shared" si="3"/>
        <v>0</v>
      </c>
      <c r="N3" s="12">
        <f t="shared" si="4"/>
        <v>0</v>
      </c>
      <c r="O3" s="15">
        <f t="shared" ref="O3:O49" si="5">((B3+C3+D3)*H3)*8</f>
        <v>0</v>
      </c>
      <c r="P3" s="10">
        <f>((B3+D3)*0.08)*40</f>
        <v>89.600000000000009</v>
      </c>
      <c r="Q3" s="10">
        <f>(C3*0.15)*40</f>
        <v>0</v>
      </c>
      <c r="R3" s="10">
        <f>((B3+C3+D3)*7)+(F3*10.5)</f>
        <v>448</v>
      </c>
      <c r="S3" s="10">
        <f>((D3*0.05)*30)</f>
        <v>0</v>
      </c>
      <c r="T3" s="10">
        <f t="shared" ref="T3:T49" si="6">(F3*0.65)*40</f>
        <v>624</v>
      </c>
      <c r="V3" s="12">
        <f>J3+K3+L3+M3+N3+O3+P3+Q3+R3+S3+T3</f>
        <v>3225.6</v>
      </c>
      <c r="W3" s="22">
        <v>0</v>
      </c>
      <c r="X3" s="35"/>
      <c r="Y3" s="32"/>
      <c r="Z3" s="10">
        <v>0</v>
      </c>
    </row>
    <row r="4" spans="1:26" x14ac:dyDescent="0.25">
      <c r="A4" s="8" t="s">
        <v>59</v>
      </c>
      <c r="B4" s="8">
        <v>65</v>
      </c>
      <c r="C4" s="8">
        <v>0</v>
      </c>
      <c r="D4" s="8">
        <v>0</v>
      </c>
      <c r="E4" s="46">
        <v>0</v>
      </c>
      <c r="F4" s="8">
        <v>0</v>
      </c>
      <c r="G4" s="8">
        <v>0</v>
      </c>
      <c r="H4" s="8">
        <v>0</v>
      </c>
      <c r="I4" s="47">
        <v>0</v>
      </c>
      <c r="J4" s="13">
        <f t="shared" si="0"/>
        <v>1950</v>
      </c>
      <c r="K4" s="13">
        <f t="shared" si="1"/>
        <v>0</v>
      </c>
      <c r="L4" s="13">
        <f t="shared" si="2"/>
        <v>0</v>
      </c>
      <c r="M4" s="13">
        <f t="shared" si="3"/>
        <v>0</v>
      </c>
      <c r="N4" s="13">
        <f t="shared" si="4"/>
        <v>0</v>
      </c>
      <c r="O4" s="13">
        <f t="shared" si="5"/>
        <v>0</v>
      </c>
      <c r="P4" s="11">
        <f>((B4+D4)*0.08)*40</f>
        <v>208</v>
      </c>
      <c r="Q4" s="11">
        <f>(C4*0.15)*40</f>
        <v>0</v>
      </c>
      <c r="R4" s="11">
        <f>((B4+C4+D4)*7)+(F4*10.5)</f>
        <v>455</v>
      </c>
      <c r="S4" s="11">
        <f>((D4*0.05)*30)</f>
        <v>0</v>
      </c>
      <c r="T4" s="11">
        <f t="shared" si="6"/>
        <v>0</v>
      </c>
      <c r="V4" s="19">
        <f>J4+K4+L4+M4+N4+O4+P4+Q4+R4+S4+T4</f>
        <v>2613</v>
      </c>
      <c r="W4" s="23">
        <v>0</v>
      </c>
      <c r="X4" s="36"/>
      <c r="Y4" s="33"/>
      <c r="Z4" s="11">
        <v>0</v>
      </c>
    </row>
    <row r="5" spans="1:26" x14ac:dyDescent="0.25">
      <c r="A5" s="24" t="s">
        <v>61</v>
      </c>
      <c r="B5" s="6">
        <v>0</v>
      </c>
      <c r="C5" s="6">
        <v>0</v>
      </c>
      <c r="D5" s="6">
        <v>11</v>
      </c>
      <c r="E5" s="46">
        <v>0</v>
      </c>
      <c r="F5" s="6">
        <v>11</v>
      </c>
      <c r="G5" s="6">
        <v>11</v>
      </c>
      <c r="H5" s="6">
        <v>0</v>
      </c>
      <c r="I5" s="47">
        <v>0</v>
      </c>
      <c r="J5" s="9">
        <f t="shared" si="0"/>
        <v>330</v>
      </c>
      <c r="K5" s="9">
        <f t="shared" si="1"/>
        <v>264</v>
      </c>
      <c r="L5" s="9">
        <f t="shared" si="2"/>
        <v>297</v>
      </c>
      <c r="M5" s="9">
        <f t="shared" si="3"/>
        <v>0</v>
      </c>
      <c r="N5" s="9">
        <f t="shared" si="4"/>
        <v>0</v>
      </c>
      <c r="O5" s="14">
        <f t="shared" si="5"/>
        <v>0</v>
      </c>
      <c r="P5" s="9">
        <f t="shared" ref="P5:P49" si="7">((B5+D5)*0.08)*40</f>
        <v>35.200000000000003</v>
      </c>
      <c r="Q5" s="9">
        <f>(C5*0.15)*40</f>
        <v>0</v>
      </c>
      <c r="R5" s="9">
        <f>((B5+C5+D5)*7)+(F5*10.5)</f>
        <v>192.5</v>
      </c>
      <c r="S5" s="9">
        <f>((D5*0.05)*30)</f>
        <v>16.5</v>
      </c>
      <c r="T5" s="9">
        <f t="shared" si="6"/>
        <v>286</v>
      </c>
      <c r="V5" s="18">
        <f t="shared" ref="V5:V49" si="8">J5+K5+L5+M5+N5+O5+P5+Q5+R5+S5+T5</f>
        <v>1421.2</v>
      </c>
      <c r="W5" s="21">
        <v>0</v>
      </c>
      <c r="X5" s="34"/>
      <c r="Y5" s="31"/>
      <c r="Z5" s="9">
        <v>0</v>
      </c>
    </row>
    <row r="6" spans="1:26" x14ac:dyDescent="0.25">
      <c r="A6" s="26"/>
      <c r="B6" s="7">
        <v>0</v>
      </c>
      <c r="C6" s="7">
        <v>0</v>
      </c>
      <c r="D6" s="7">
        <v>0</v>
      </c>
      <c r="E6" s="46">
        <v>0</v>
      </c>
      <c r="F6" s="7">
        <v>0</v>
      </c>
      <c r="G6" s="7">
        <v>0</v>
      </c>
      <c r="H6" s="7">
        <v>0</v>
      </c>
      <c r="I6" s="47">
        <v>0</v>
      </c>
      <c r="J6" s="12">
        <f t="shared" si="0"/>
        <v>0</v>
      </c>
      <c r="K6" s="12">
        <f t="shared" si="1"/>
        <v>0</v>
      </c>
      <c r="L6" s="12">
        <f t="shared" si="2"/>
        <v>0</v>
      </c>
      <c r="M6" s="12">
        <f t="shared" si="3"/>
        <v>0</v>
      </c>
      <c r="N6" s="12">
        <f t="shared" si="4"/>
        <v>0</v>
      </c>
      <c r="O6" s="15">
        <f t="shared" si="5"/>
        <v>0</v>
      </c>
      <c r="P6" s="10">
        <f t="shared" si="7"/>
        <v>0</v>
      </c>
      <c r="Q6" s="10">
        <f t="shared" ref="Q6:Q49" si="9">(C6*0.15)*40</f>
        <v>0</v>
      </c>
      <c r="R6" s="10">
        <f t="shared" ref="R6:R49" si="10">((B6+C6+D6)*7)+(F6*10.5)</f>
        <v>0</v>
      </c>
      <c r="S6" s="10">
        <f t="shared" ref="S6:S49" si="11">((D6*0.05)*30)</f>
        <v>0</v>
      </c>
      <c r="T6" s="10">
        <f t="shared" si="6"/>
        <v>0</v>
      </c>
      <c r="V6" s="12">
        <f t="shared" si="8"/>
        <v>0</v>
      </c>
      <c r="W6" s="22">
        <v>0</v>
      </c>
      <c r="X6" s="35"/>
      <c r="Y6" s="32"/>
      <c r="Z6" s="10">
        <v>0</v>
      </c>
    </row>
    <row r="7" spans="1:26" x14ac:dyDescent="0.25">
      <c r="A7" s="8"/>
      <c r="B7" s="8">
        <v>0</v>
      </c>
      <c r="C7" s="8">
        <v>0</v>
      </c>
      <c r="D7" s="8">
        <v>0</v>
      </c>
      <c r="E7" s="46">
        <v>0</v>
      </c>
      <c r="F7" s="8">
        <v>0</v>
      </c>
      <c r="G7" s="8">
        <v>0</v>
      </c>
      <c r="H7" s="8">
        <v>0</v>
      </c>
      <c r="I7" s="47">
        <v>0</v>
      </c>
      <c r="J7" s="13">
        <f t="shared" si="0"/>
        <v>0</v>
      </c>
      <c r="K7" s="13">
        <f t="shared" si="1"/>
        <v>0</v>
      </c>
      <c r="L7" s="13">
        <f t="shared" si="2"/>
        <v>0</v>
      </c>
      <c r="M7" s="13">
        <f t="shared" si="3"/>
        <v>0</v>
      </c>
      <c r="N7" s="13">
        <f t="shared" si="4"/>
        <v>0</v>
      </c>
      <c r="O7" s="13">
        <f t="shared" si="5"/>
        <v>0</v>
      </c>
      <c r="P7" s="11">
        <f t="shared" si="7"/>
        <v>0</v>
      </c>
      <c r="Q7" s="11">
        <f t="shared" si="9"/>
        <v>0</v>
      </c>
      <c r="R7" s="11">
        <f t="shared" si="10"/>
        <v>0</v>
      </c>
      <c r="S7" s="11">
        <f t="shared" si="11"/>
        <v>0</v>
      </c>
      <c r="T7" s="11">
        <f t="shared" si="6"/>
        <v>0</v>
      </c>
      <c r="V7" s="19">
        <f t="shared" si="8"/>
        <v>0</v>
      </c>
      <c r="W7" s="23">
        <v>0</v>
      </c>
      <c r="X7" s="36"/>
      <c r="Y7" s="33"/>
      <c r="Z7" s="11">
        <v>0</v>
      </c>
    </row>
    <row r="8" spans="1:26" x14ac:dyDescent="0.25">
      <c r="A8" s="24"/>
      <c r="B8" s="6">
        <v>0</v>
      </c>
      <c r="C8" s="6">
        <v>0</v>
      </c>
      <c r="D8" s="6">
        <v>0</v>
      </c>
      <c r="E8" s="46">
        <v>0</v>
      </c>
      <c r="F8" s="6">
        <v>0</v>
      </c>
      <c r="G8" s="6">
        <v>0</v>
      </c>
      <c r="H8" s="6">
        <v>0</v>
      </c>
      <c r="I8" s="47">
        <v>0</v>
      </c>
      <c r="J8" s="9">
        <f t="shared" si="0"/>
        <v>0</v>
      </c>
      <c r="K8" s="9">
        <f t="shared" si="1"/>
        <v>0</v>
      </c>
      <c r="L8" s="9">
        <f t="shared" si="2"/>
        <v>0</v>
      </c>
      <c r="M8" s="9">
        <f t="shared" si="3"/>
        <v>0</v>
      </c>
      <c r="N8" s="9">
        <f t="shared" si="4"/>
        <v>0</v>
      </c>
      <c r="O8" s="14">
        <f t="shared" si="5"/>
        <v>0</v>
      </c>
      <c r="P8" s="9">
        <f t="shared" si="7"/>
        <v>0</v>
      </c>
      <c r="Q8" s="9">
        <f t="shared" si="9"/>
        <v>0</v>
      </c>
      <c r="R8" s="9">
        <f t="shared" si="10"/>
        <v>0</v>
      </c>
      <c r="S8" s="9">
        <f t="shared" si="11"/>
        <v>0</v>
      </c>
      <c r="T8" s="9">
        <f t="shared" si="6"/>
        <v>0</v>
      </c>
      <c r="V8" s="18">
        <f t="shared" si="8"/>
        <v>0</v>
      </c>
      <c r="W8" s="21">
        <v>0</v>
      </c>
      <c r="X8" s="34"/>
      <c r="Y8" s="31"/>
      <c r="Z8" s="9">
        <v>0</v>
      </c>
    </row>
    <row r="9" spans="1:26" x14ac:dyDescent="0.25">
      <c r="A9" s="26"/>
      <c r="B9" s="7">
        <v>0</v>
      </c>
      <c r="C9" s="7">
        <v>0</v>
      </c>
      <c r="D9" s="7">
        <v>0</v>
      </c>
      <c r="E9" s="46">
        <v>0</v>
      </c>
      <c r="F9" s="7">
        <v>0</v>
      </c>
      <c r="G9" s="7">
        <v>0</v>
      </c>
      <c r="H9" s="7">
        <v>0</v>
      </c>
      <c r="I9" s="47">
        <v>0</v>
      </c>
      <c r="J9" s="12">
        <f t="shared" si="0"/>
        <v>0</v>
      </c>
      <c r="K9" s="12">
        <f t="shared" si="1"/>
        <v>0</v>
      </c>
      <c r="L9" s="12">
        <f t="shared" si="2"/>
        <v>0</v>
      </c>
      <c r="M9" s="12">
        <f t="shared" si="3"/>
        <v>0</v>
      </c>
      <c r="N9" s="12">
        <f t="shared" si="4"/>
        <v>0</v>
      </c>
      <c r="O9" s="15">
        <f t="shared" si="5"/>
        <v>0</v>
      </c>
      <c r="P9" s="10">
        <f t="shared" si="7"/>
        <v>0</v>
      </c>
      <c r="Q9" s="10">
        <f t="shared" si="9"/>
        <v>0</v>
      </c>
      <c r="R9" s="10">
        <f t="shared" si="10"/>
        <v>0</v>
      </c>
      <c r="S9" s="10">
        <f t="shared" si="11"/>
        <v>0</v>
      </c>
      <c r="T9" s="10">
        <f t="shared" si="6"/>
        <v>0</v>
      </c>
      <c r="V9" s="12">
        <f t="shared" si="8"/>
        <v>0</v>
      </c>
      <c r="W9" s="22">
        <v>0</v>
      </c>
      <c r="X9" s="35"/>
      <c r="Y9" s="32"/>
      <c r="Z9" s="10">
        <v>0</v>
      </c>
    </row>
    <row r="10" spans="1:26" x14ac:dyDescent="0.25">
      <c r="A10" s="8"/>
      <c r="B10" s="8">
        <v>0</v>
      </c>
      <c r="C10" s="8">
        <v>0</v>
      </c>
      <c r="D10" s="8">
        <v>0</v>
      </c>
      <c r="E10" s="46">
        <v>0</v>
      </c>
      <c r="F10" s="8">
        <v>0</v>
      </c>
      <c r="G10" s="8">
        <v>0</v>
      </c>
      <c r="H10" s="8">
        <v>0</v>
      </c>
      <c r="I10" s="47">
        <v>0</v>
      </c>
      <c r="J10" s="13">
        <f t="shared" si="0"/>
        <v>0</v>
      </c>
      <c r="K10" s="13">
        <f t="shared" si="1"/>
        <v>0</v>
      </c>
      <c r="L10" s="13">
        <f t="shared" si="2"/>
        <v>0</v>
      </c>
      <c r="M10" s="13">
        <f t="shared" si="3"/>
        <v>0</v>
      </c>
      <c r="N10" s="13">
        <f t="shared" si="4"/>
        <v>0</v>
      </c>
      <c r="O10" s="13">
        <f t="shared" si="5"/>
        <v>0</v>
      </c>
      <c r="P10" s="11">
        <f t="shared" si="7"/>
        <v>0</v>
      </c>
      <c r="Q10" s="11">
        <f t="shared" si="9"/>
        <v>0</v>
      </c>
      <c r="R10" s="11">
        <f t="shared" si="10"/>
        <v>0</v>
      </c>
      <c r="S10" s="11">
        <f t="shared" si="11"/>
        <v>0</v>
      </c>
      <c r="T10" s="11">
        <f t="shared" si="6"/>
        <v>0</v>
      </c>
      <c r="V10" s="19">
        <f t="shared" si="8"/>
        <v>0</v>
      </c>
      <c r="W10" s="23">
        <v>0</v>
      </c>
      <c r="X10" s="36"/>
      <c r="Y10" s="33"/>
      <c r="Z10" s="11">
        <v>0</v>
      </c>
    </row>
    <row r="11" spans="1:26" x14ac:dyDescent="0.25">
      <c r="A11" s="24"/>
      <c r="B11" s="6">
        <v>0</v>
      </c>
      <c r="C11" s="6">
        <v>0</v>
      </c>
      <c r="D11" s="6">
        <v>0</v>
      </c>
      <c r="E11" s="46">
        <v>0</v>
      </c>
      <c r="F11" s="6">
        <v>0</v>
      </c>
      <c r="G11" s="6">
        <v>0</v>
      </c>
      <c r="H11" s="6">
        <v>0</v>
      </c>
      <c r="I11" s="47">
        <v>0</v>
      </c>
      <c r="J11" s="9">
        <f t="shared" si="0"/>
        <v>0</v>
      </c>
      <c r="K11" s="9">
        <f t="shared" si="1"/>
        <v>0</v>
      </c>
      <c r="L11" s="9">
        <f t="shared" si="2"/>
        <v>0</v>
      </c>
      <c r="M11" s="9">
        <f t="shared" si="3"/>
        <v>0</v>
      </c>
      <c r="N11" s="9">
        <f t="shared" si="4"/>
        <v>0</v>
      </c>
      <c r="O11" s="14">
        <f t="shared" si="5"/>
        <v>0</v>
      </c>
      <c r="P11" s="9">
        <f t="shared" si="7"/>
        <v>0</v>
      </c>
      <c r="Q11" s="9">
        <f t="shared" si="9"/>
        <v>0</v>
      </c>
      <c r="R11" s="9">
        <f t="shared" si="10"/>
        <v>0</v>
      </c>
      <c r="S11" s="9">
        <f t="shared" si="11"/>
        <v>0</v>
      </c>
      <c r="T11" s="9">
        <f t="shared" si="6"/>
        <v>0</v>
      </c>
      <c r="V11" s="18">
        <f t="shared" si="8"/>
        <v>0</v>
      </c>
      <c r="W11" s="21">
        <v>0</v>
      </c>
      <c r="X11" s="34"/>
      <c r="Y11" s="31"/>
      <c r="Z11" s="9">
        <v>0</v>
      </c>
    </row>
    <row r="12" spans="1:26" x14ac:dyDescent="0.25">
      <c r="A12" s="26"/>
      <c r="B12" s="7">
        <v>0</v>
      </c>
      <c r="C12" s="7">
        <v>0</v>
      </c>
      <c r="D12" s="7">
        <v>0</v>
      </c>
      <c r="E12" s="46">
        <v>0</v>
      </c>
      <c r="F12" s="7">
        <v>0</v>
      </c>
      <c r="G12" s="7">
        <v>0</v>
      </c>
      <c r="H12" s="7">
        <v>0</v>
      </c>
      <c r="I12" s="47">
        <v>0</v>
      </c>
      <c r="J12" s="12">
        <f t="shared" si="0"/>
        <v>0</v>
      </c>
      <c r="K12" s="12">
        <f t="shared" si="1"/>
        <v>0</v>
      </c>
      <c r="L12" s="12">
        <f t="shared" si="2"/>
        <v>0</v>
      </c>
      <c r="M12" s="12">
        <f t="shared" si="3"/>
        <v>0</v>
      </c>
      <c r="N12" s="12">
        <f t="shared" si="4"/>
        <v>0</v>
      </c>
      <c r="O12" s="15">
        <f t="shared" si="5"/>
        <v>0</v>
      </c>
      <c r="P12" s="10">
        <f t="shared" si="7"/>
        <v>0</v>
      </c>
      <c r="Q12" s="10">
        <f t="shared" si="9"/>
        <v>0</v>
      </c>
      <c r="R12" s="10">
        <f t="shared" si="10"/>
        <v>0</v>
      </c>
      <c r="S12" s="10">
        <f t="shared" si="11"/>
        <v>0</v>
      </c>
      <c r="T12" s="10">
        <f t="shared" si="6"/>
        <v>0</v>
      </c>
      <c r="V12" s="12">
        <f t="shared" si="8"/>
        <v>0</v>
      </c>
      <c r="W12" s="22">
        <v>0</v>
      </c>
      <c r="X12" s="35"/>
      <c r="Y12" s="32"/>
      <c r="Z12" s="10">
        <v>0</v>
      </c>
    </row>
    <row r="13" spans="1:26" x14ac:dyDescent="0.25">
      <c r="A13" s="8"/>
      <c r="B13" s="8">
        <v>0</v>
      </c>
      <c r="C13" s="8">
        <v>0</v>
      </c>
      <c r="D13" s="8">
        <v>0</v>
      </c>
      <c r="E13" s="46">
        <v>0</v>
      </c>
      <c r="F13" s="8">
        <v>0</v>
      </c>
      <c r="G13" s="8">
        <v>0</v>
      </c>
      <c r="H13" s="8">
        <v>0</v>
      </c>
      <c r="I13" s="47">
        <v>0</v>
      </c>
      <c r="J13" s="13">
        <f t="shared" si="0"/>
        <v>0</v>
      </c>
      <c r="K13" s="13">
        <f t="shared" si="1"/>
        <v>0</v>
      </c>
      <c r="L13" s="13">
        <f t="shared" si="2"/>
        <v>0</v>
      </c>
      <c r="M13" s="13">
        <f t="shared" si="3"/>
        <v>0</v>
      </c>
      <c r="N13" s="13">
        <f t="shared" si="4"/>
        <v>0</v>
      </c>
      <c r="O13" s="13">
        <f t="shared" si="5"/>
        <v>0</v>
      </c>
      <c r="P13" s="11">
        <f t="shared" si="7"/>
        <v>0</v>
      </c>
      <c r="Q13" s="11">
        <f t="shared" si="9"/>
        <v>0</v>
      </c>
      <c r="R13" s="11">
        <f t="shared" si="10"/>
        <v>0</v>
      </c>
      <c r="S13" s="11">
        <f t="shared" si="11"/>
        <v>0</v>
      </c>
      <c r="T13" s="11">
        <f t="shared" si="6"/>
        <v>0</v>
      </c>
      <c r="V13" s="19">
        <f t="shared" si="8"/>
        <v>0</v>
      </c>
      <c r="W13" s="23">
        <v>0</v>
      </c>
      <c r="X13" s="36"/>
      <c r="Y13" s="33"/>
      <c r="Z13" s="11">
        <v>0</v>
      </c>
    </row>
    <row r="14" spans="1:26" x14ac:dyDescent="0.25">
      <c r="A14" s="24"/>
      <c r="B14" s="6">
        <v>0</v>
      </c>
      <c r="C14" s="6">
        <v>0</v>
      </c>
      <c r="D14" s="6">
        <v>0</v>
      </c>
      <c r="E14" s="46">
        <v>0</v>
      </c>
      <c r="F14" s="6">
        <v>0</v>
      </c>
      <c r="G14" s="6">
        <v>0</v>
      </c>
      <c r="H14" s="6">
        <v>0</v>
      </c>
      <c r="I14" s="47">
        <v>0</v>
      </c>
      <c r="J14" s="9">
        <f t="shared" si="0"/>
        <v>0</v>
      </c>
      <c r="K14" s="9">
        <f t="shared" si="1"/>
        <v>0</v>
      </c>
      <c r="L14" s="9">
        <f t="shared" si="2"/>
        <v>0</v>
      </c>
      <c r="M14" s="9">
        <f t="shared" si="3"/>
        <v>0</v>
      </c>
      <c r="N14" s="9">
        <f t="shared" si="4"/>
        <v>0</v>
      </c>
      <c r="O14" s="14">
        <f t="shared" si="5"/>
        <v>0</v>
      </c>
      <c r="P14" s="9">
        <f t="shared" si="7"/>
        <v>0</v>
      </c>
      <c r="Q14" s="9">
        <f t="shared" si="9"/>
        <v>0</v>
      </c>
      <c r="R14" s="9">
        <f t="shared" si="10"/>
        <v>0</v>
      </c>
      <c r="S14" s="9">
        <f t="shared" si="11"/>
        <v>0</v>
      </c>
      <c r="T14" s="9">
        <f t="shared" si="6"/>
        <v>0</v>
      </c>
      <c r="V14" s="18">
        <f t="shared" si="8"/>
        <v>0</v>
      </c>
      <c r="W14" s="21">
        <v>0</v>
      </c>
      <c r="X14" s="34"/>
      <c r="Y14" s="31"/>
      <c r="Z14" s="9">
        <v>0</v>
      </c>
    </row>
    <row r="15" spans="1:26" x14ac:dyDescent="0.25">
      <c r="A15" s="26"/>
      <c r="B15" s="7">
        <v>0</v>
      </c>
      <c r="C15" s="7">
        <v>0</v>
      </c>
      <c r="D15" s="7">
        <v>0</v>
      </c>
      <c r="E15" s="46">
        <v>0</v>
      </c>
      <c r="F15" s="7">
        <v>0</v>
      </c>
      <c r="G15" s="7">
        <v>0</v>
      </c>
      <c r="H15" s="7">
        <v>0</v>
      </c>
      <c r="I15" s="47">
        <v>0</v>
      </c>
      <c r="J15" s="12">
        <f t="shared" si="0"/>
        <v>0</v>
      </c>
      <c r="K15" s="12">
        <f t="shared" si="1"/>
        <v>0</v>
      </c>
      <c r="L15" s="12">
        <f t="shared" si="2"/>
        <v>0</v>
      </c>
      <c r="M15" s="12">
        <f t="shared" si="3"/>
        <v>0</v>
      </c>
      <c r="N15" s="12">
        <f t="shared" si="4"/>
        <v>0</v>
      </c>
      <c r="O15" s="15">
        <f t="shared" si="5"/>
        <v>0</v>
      </c>
      <c r="P15" s="10">
        <f t="shared" si="7"/>
        <v>0</v>
      </c>
      <c r="Q15" s="10">
        <f t="shared" si="9"/>
        <v>0</v>
      </c>
      <c r="R15" s="10">
        <f t="shared" si="10"/>
        <v>0</v>
      </c>
      <c r="S15" s="10">
        <f t="shared" si="11"/>
        <v>0</v>
      </c>
      <c r="T15" s="10">
        <f t="shared" si="6"/>
        <v>0</v>
      </c>
      <c r="V15" s="12">
        <f t="shared" si="8"/>
        <v>0</v>
      </c>
      <c r="W15" s="22">
        <v>0</v>
      </c>
      <c r="X15" s="35"/>
      <c r="Y15" s="32"/>
      <c r="Z15" s="10">
        <v>0</v>
      </c>
    </row>
    <row r="16" spans="1:26" x14ac:dyDescent="0.25">
      <c r="A16" s="8"/>
      <c r="B16" s="8">
        <v>0</v>
      </c>
      <c r="C16" s="8">
        <v>0</v>
      </c>
      <c r="D16" s="8">
        <v>0</v>
      </c>
      <c r="E16" s="46">
        <v>0</v>
      </c>
      <c r="F16" s="8">
        <v>0</v>
      </c>
      <c r="G16" s="8">
        <v>0</v>
      </c>
      <c r="H16" s="8">
        <v>0</v>
      </c>
      <c r="I16" s="47">
        <v>0</v>
      </c>
      <c r="J16" s="13">
        <f t="shared" si="0"/>
        <v>0</v>
      </c>
      <c r="K16" s="13">
        <f t="shared" si="1"/>
        <v>0</v>
      </c>
      <c r="L16" s="13">
        <f t="shared" si="2"/>
        <v>0</v>
      </c>
      <c r="M16" s="13">
        <f t="shared" si="3"/>
        <v>0</v>
      </c>
      <c r="N16" s="13">
        <f t="shared" si="4"/>
        <v>0</v>
      </c>
      <c r="O16" s="13">
        <f t="shared" si="5"/>
        <v>0</v>
      </c>
      <c r="P16" s="11">
        <f t="shared" si="7"/>
        <v>0</v>
      </c>
      <c r="Q16" s="11">
        <f t="shared" si="9"/>
        <v>0</v>
      </c>
      <c r="R16" s="11">
        <f t="shared" si="10"/>
        <v>0</v>
      </c>
      <c r="S16" s="11">
        <f t="shared" si="11"/>
        <v>0</v>
      </c>
      <c r="T16" s="11">
        <f t="shared" si="6"/>
        <v>0</v>
      </c>
      <c r="V16" s="19">
        <f t="shared" si="8"/>
        <v>0</v>
      </c>
      <c r="W16" s="23">
        <v>0</v>
      </c>
      <c r="X16" s="36"/>
      <c r="Y16" s="33"/>
      <c r="Z16" s="11">
        <v>0</v>
      </c>
    </row>
    <row r="17" spans="1:26" x14ac:dyDescent="0.25">
      <c r="A17" s="24"/>
      <c r="B17" s="6">
        <v>0</v>
      </c>
      <c r="C17" s="6">
        <v>0</v>
      </c>
      <c r="D17" s="6">
        <v>0</v>
      </c>
      <c r="E17" s="46">
        <v>0</v>
      </c>
      <c r="F17" s="6">
        <v>0</v>
      </c>
      <c r="G17" s="6">
        <v>0</v>
      </c>
      <c r="H17" s="6">
        <v>0</v>
      </c>
      <c r="I17" s="47">
        <v>0</v>
      </c>
      <c r="J17" s="9">
        <f t="shared" si="0"/>
        <v>0</v>
      </c>
      <c r="K17" s="9">
        <f t="shared" si="1"/>
        <v>0</v>
      </c>
      <c r="L17" s="9">
        <f t="shared" si="2"/>
        <v>0</v>
      </c>
      <c r="M17" s="9">
        <f t="shared" si="3"/>
        <v>0</v>
      </c>
      <c r="N17" s="9">
        <f t="shared" si="4"/>
        <v>0</v>
      </c>
      <c r="O17" s="14">
        <f t="shared" si="5"/>
        <v>0</v>
      </c>
      <c r="P17" s="9">
        <f t="shared" si="7"/>
        <v>0</v>
      </c>
      <c r="Q17" s="9">
        <f t="shared" si="9"/>
        <v>0</v>
      </c>
      <c r="R17" s="9">
        <f t="shared" si="10"/>
        <v>0</v>
      </c>
      <c r="S17" s="9">
        <f t="shared" si="11"/>
        <v>0</v>
      </c>
      <c r="T17" s="9">
        <f t="shared" si="6"/>
        <v>0</v>
      </c>
      <c r="V17" s="18">
        <f t="shared" si="8"/>
        <v>0</v>
      </c>
      <c r="W17" s="21">
        <v>0</v>
      </c>
      <c r="X17" s="34"/>
      <c r="Y17" s="31"/>
      <c r="Z17" s="9">
        <v>0</v>
      </c>
    </row>
    <row r="18" spans="1:26" x14ac:dyDescent="0.25">
      <c r="A18" s="26"/>
      <c r="B18" s="7">
        <v>0</v>
      </c>
      <c r="C18" s="7">
        <v>0</v>
      </c>
      <c r="D18" s="7">
        <v>0</v>
      </c>
      <c r="E18" s="46">
        <v>0</v>
      </c>
      <c r="F18" s="7">
        <v>0</v>
      </c>
      <c r="G18" s="7">
        <v>0</v>
      </c>
      <c r="H18" s="7">
        <v>0</v>
      </c>
      <c r="I18" s="47">
        <v>0</v>
      </c>
      <c r="J18" s="12">
        <f t="shared" si="0"/>
        <v>0</v>
      </c>
      <c r="K18" s="12">
        <f t="shared" si="1"/>
        <v>0</v>
      </c>
      <c r="L18" s="12">
        <f t="shared" si="2"/>
        <v>0</v>
      </c>
      <c r="M18" s="12">
        <f t="shared" si="3"/>
        <v>0</v>
      </c>
      <c r="N18" s="12">
        <f t="shared" si="4"/>
        <v>0</v>
      </c>
      <c r="O18" s="15">
        <f t="shared" si="5"/>
        <v>0</v>
      </c>
      <c r="P18" s="10">
        <f t="shared" si="7"/>
        <v>0</v>
      </c>
      <c r="Q18" s="10">
        <f t="shared" si="9"/>
        <v>0</v>
      </c>
      <c r="R18" s="10">
        <f t="shared" si="10"/>
        <v>0</v>
      </c>
      <c r="S18" s="10">
        <f t="shared" si="11"/>
        <v>0</v>
      </c>
      <c r="T18" s="10">
        <f t="shared" si="6"/>
        <v>0</v>
      </c>
      <c r="V18" s="12">
        <f t="shared" si="8"/>
        <v>0</v>
      </c>
      <c r="W18" s="22">
        <v>0</v>
      </c>
      <c r="X18" s="35"/>
      <c r="Y18" s="32"/>
      <c r="Z18" s="10">
        <v>0</v>
      </c>
    </row>
    <row r="19" spans="1:26" x14ac:dyDescent="0.25">
      <c r="A19" s="8"/>
      <c r="B19" s="8">
        <v>0</v>
      </c>
      <c r="C19" s="8">
        <v>0</v>
      </c>
      <c r="D19" s="8">
        <v>0</v>
      </c>
      <c r="E19" s="46">
        <v>0</v>
      </c>
      <c r="F19" s="8">
        <v>0</v>
      </c>
      <c r="G19" s="8">
        <v>0</v>
      </c>
      <c r="H19" s="8">
        <v>0</v>
      </c>
      <c r="I19" s="47">
        <v>0</v>
      </c>
      <c r="J19" s="13">
        <f t="shared" si="0"/>
        <v>0</v>
      </c>
      <c r="K19" s="13">
        <f t="shared" si="1"/>
        <v>0</v>
      </c>
      <c r="L19" s="13">
        <f t="shared" si="2"/>
        <v>0</v>
      </c>
      <c r="M19" s="13">
        <f t="shared" si="3"/>
        <v>0</v>
      </c>
      <c r="N19" s="13">
        <f t="shared" si="4"/>
        <v>0</v>
      </c>
      <c r="O19" s="13">
        <f t="shared" si="5"/>
        <v>0</v>
      </c>
      <c r="P19" s="11">
        <f t="shared" si="7"/>
        <v>0</v>
      </c>
      <c r="Q19" s="11">
        <f t="shared" si="9"/>
        <v>0</v>
      </c>
      <c r="R19" s="11">
        <f t="shared" si="10"/>
        <v>0</v>
      </c>
      <c r="S19" s="11">
        <f t="shared" si="11"/>
        <v>0</v>
      </c>
      <c r="T19" s="11">
        <f t="shared" si="6"/>
        <v>0</v>
      </c>
      <c r="V19" s="19">
        <f t="shared" si="8"/>
        <v>0</v>
      </c>
      <c r="W19" s="23">
        <v>0</v>
      </c>
      <c r="X19" s="36"/>
      <c r="Y19" s="33"/>
      <c r="Z19" s="11">
        <v>0</v>
      </c>
    </row>
    <row r="20" spans="1:26" x14ac:dyDescent="0.25">
      <c r="A20" s="24"/>
      <c r="B20" s="6">
        <v>0</v>
      </c>
      <c r="C20" s="6">
        <v>0</v>
      </c>
      <c r="D20" s="6">
        <v>0</v>
      </c>
      <c r="E20" s="46">
        <v>0</v>
      </c>
      <c r="F20" s="6">
        <v>0</v>
      </c>
      <c r="G20" s="6">
        <v>0</v>
      </c>
      <c r="H20" s="6">
        <v>0</v>
      </c>
      <c r="I20" s="47">
        <v>0</v>
      </c>
      <c r="J20" s="9">
        <f t="shared" si="0"/>
        <v>0</v>
      </c>
      <c r="K20" s="9">
        <f t="shared" si="1"/>
        <v>0</v>
      </c>
      <c r="L20" s="9">
        <f t="shared" si="2"/>
        <v>0</v>
      </c>
      <c r="M20" s="9">
        <f t="shared" si="3"/>
        <v>0</v>
      </c>
      <c r="N20" s="9">
        <f t="shared" si="4"/>
        <v>0</v>
      </c>
      <c r="O20" s="14">
        <f t="shared" si="5"/>
        <v>0</v>
      </c>
      <c r="P20" s="9">
        <f t="shared" si="7"/>
        <v>0</v>
      </c>
      <c r="Q20" s="9">
        <f t="shared" si="9"/>
        <v>0</v>
      </c>
      <c r="R20" s="9">
        <f t="shared" si="10"/>
        <v>0</v>
      </c>
      <c r="S20" s="9">
        <f t="shared" si="11"/>
        <v>0</v>
      </c>
      <c r="T20" s="9">
        <f t="shared" si="6"/>
        <v>0</v>
      </c>
      <c r="V20" s="18">
        <f t="shared" si="8"/>
        <v>0</v>
      </c>
      <c r="W20" s="21">
        <v>0</v>
      </c>
      <c r="X20" s="34"/>
      <c r="Y20" s="31"/>
      <c r="Z20" s="9">
        <v>0</v>
      </c>
    </row>
    <row r="21" spans="1:26" x14ac:dyDescent="0.25">
      <c r="A21" s="26"/>
      <c r="B21" s="7">
        <v>0</v>
      </c>
      <c r="C21" s="7">
        <v>0</v>
      </c>
      <c r="D21" s="7">
        <v>0</v>
      </c>
      <c r="E21" s="46">
        <v>0</v>
      </c>
      <c r="F21" s="7">
        <v>0</v>
      </c>
      <c r="G21" s="7">
        <v>0</v>
      </c>
      <c r="H21" s="7">
        <v>0</v>
      </c>
      <c r="I21" s="47">
        <v>0</v>
      </c>
      <c r="J21" s="12">
        <f t="shared" si="0"/>
        <v>0</v>
      </c>
      <c r="K21" s="12">
        <f t="shared" si="1"/>
        <v>0</v>
      </c>
      <c r="L21" s="12">
        <f t="shared" si="2"/>
        <v>0</v>
      </c>
      <c r="M21" s="12">
        <f t="shared" si="3"/>
        <v>0</v>
      </c>
      <c r="N21" s="12">
        <f t="shared" si="4"/>
        <v>0</v>
      </c>
      <c r="O21" s="15">
        <f t="shared" si="5"/>
        <v>0</v>
      </c>
      <c r="P21" s="10">
        <f t="shared" si="7"/>
        <v>0</v>
      </c>
      <c r="Q21" s="10">
        <f t="shared" si="9"/>
        <v>0</v>
      </c>
      <c r="R21" s="10">
        <f t="shared" si="10"/>
        <v>0</v>
      </c>
      <c r="S21" s="10">
        <f t="shared" si="11"/>
        <v>0</v>
      </c>
      <c r="T21" s="10">
        <f t="shared" si="6"/>
        <v>0</v>
      </c>
      <c r="V21" s="12">
        <f t="shared" si="8"/>
        <v>0</v>
      </c>
      <c r="W21" s="22">
        <v>0</v>
      </c>
      <c r="X21" s="35"/>
      <c r="Y21" s="32"/>
      <c r="Z21" s="10">
        <v>0</v>
      </c>
    </row>
    <row r="22" spans="1:26" x14ac:dyDescent="0.25">
      <c r="A22" s="8"/>
      <c r="B22" s="8">
        <v>0</v>
      </c>
      <c r="C22" s="8">
        <v>0</v>
      </c>
      <c r="D22" s="8">
        <v>0</v>
      </c>
      <c r="E22" s="46">
        <v>0</v>
      </c>
      <c r="F22" s="8">
        <v>0</v>
      </c>
      <c r="G22" s="8">
        <v>0</v>
      </c>
      <c r="H22" s="8">
        <v>0</v>
      </c>
      <c r="I22" s="47">
        <v>0</v>
      </c>
      <c r="J22" s="13">
        <f t="shared" si="0"/>
        <v>0</v>
      </c>
      <c r="K22" s="13">
        <f t="shared" si="1"/>
        <v>0</v>
      </c>
      <c r="L22" s="13">
        <f t="shared" si="2"/>
        <v>0</v>
      </c>
      <c r="M22" s="13">
        <f t="shared" si="3"/>
        <v>0</v>
      </c>
      <c r="N22" s="13">
        <f t="shared" si="4"/>
        <v>0</v>
      </c>
      <c r="O22" s="13">
        <f t="shared" si="5"/>
        <v>0</v>
      </c>
      <c r="P22" s="11">
        <f t="shared" si="7"/>
        <v>0</v>
      </c>
      <c r="Q22" s="11">
        <f t="shared" si="9"/>
        <v>0</v>
      </c>
      <c r="R22" s="11">
        <f t="shared" si="10"/>
        <v>0</v>
      </c>
      <c r="S22" s="11">
        <f t="shared" si="11"/>
        <v>0</v>
      </c>
      <c r="T22" s="11">
        <f t="shared" si="6"/>
        <v>0</v>
      </c>
      <c r="V22" s="19">
        <f t="shared" si="8"/>
        <v>0</v>
      </c>
      <c r="W22" s="23">
        <v>0</v>
      </c>
      <c r="X22" s="36"/>
      <c r="Y22" s="33"/>
      <c r="Z22" s="11">
        <v>0</v>
      </c>
    </row>
    <row r="23" spans="1:26" x14ac:dyDescent="0.25">
      <c r="A23" s="24"/>
      <c r="B23" s="6">
        <v>0</v>
      </c>
      <c r="C23" s="6">
        <v>0</v>
      </c>
      <c r="D23" s="6">
        <v>0</v>
      </c>
      <c r="E23" s="46">
        <v>0</v>
      </c>
      <c r="F23" s="6">
        <v>0</v>
      </c>
      <c r="G23" s="6">
        <v>0</v>
      </c>
      <c r="H23" s="6">
        <v>0</v>
      </c>
      <c r="I23" s="47">
        <v>0</v>
      </c>
      <c r="J23" s="9">
        <f t="shared" si="0"/>
        <v>0</v>
      </c>
      <c r="K23" s="9">
        <f t="shared" si="1"/>
        <v>0</v>
      </c>
      <c r="L23" s="9">
        <f t="shared" si="2"/>
        <v>0</v>
      </c>
      <c r="M23" s="9">
        <f t="shared" si="3"/>
        <v>0</v>
      </c>
      <c r="N23" s="9">
        <f t="shared" si="4"/>
        <v>0</v>
      </c>
      <c r="O23" s="14">
        <f t="shared" si="5"/>
        <v>0</v>
      </c>
      <c r="P23" s="9">
        <f t="shared" si="7"/>
        <v>0</v>
      </c>
      <c r="Q23" s="9">
        <f t="shared" si="9"/>
        <v>0</v>
      </c>
      <c r="R23" s="9">
        <f t="shared" si="10"/>
        <v>0</v>
      </c>
      <c r="S23" s="9">
        <f t="shared" si="11"/>
        <v>0</v>
      </c>
      <c r="T23" s="9">
        <f t="shared" si="6"/>
        <v>0</v>
      </c>
      <c r="V23" s="18">
        <f t="shared" si="8"/>
        <v>0</v>
      </c>
      <c r="W23" s="21">
        <v>0</v>
      </c>
      <c r="X23" s="34"/>
      <c r="Y23" s="31"/>
      <c r="Z23" s="9">
        <v>0</v>
      </c>
    </row>
    <row r="24" spans="1:26" x14ac:dyDescent="0.25">
      <c r="A24" s="26"/>
      <c r="B24" s="7">
        <v>0</v>
      </c>
      <c r="C24" s="7">
        <v>0</v>
      </c>
      <c r="D24" s="7">
        <v>0</v>
      </c>
      <c r="E24" s="46">
        <v>0</v>
      </c>
      <c r="F24" s="7">
        <v>0</v>
      </c>
      <c r="G24" s="7">
        <v>0</v>
      </c>
      <c r="H24" s="7">
        <v>0</v>
      </c>
      <c r="I24" s="47">
        <v>0</v>
      </c>
      <c r="J24" s="12">
        <f t="shared" si="0"/>
        <v>0</v>
      </c>
      <c r="K24" s="12">
        <f t="shared" si="1"/>
        <v>0</v>
      </c>
      <c r="L24" s="12">
        <f t="shared" si="2"/>
        <v>0</v>
      </c>
      <c r="M24" s="12">
        <f t="shared" si="3"/>
        <v>0</v>
      </c>
      <c r="N24" s="12">
        <f t="shared" si="4"/>
        <v>0</v>
      </c>
      <c r="O24" s="15">
        <f t="shared" si="5"/>
        <v>0</v>
      </c>
      <c r="P24" s="10">
        <f t="shared" si="7"/>
        <v>0</v>
      </c>
      <c r="Q24" s="10">
        <f t="shared" si="9"/>
        <v>0</v>
      </c>
      <c r="R24" s="10">
        <f t="shared" si="10"/>
        <v>0</v>
      </c>
      <c r="S24" s="10">
        <f t="shared" si="11"/>
        <v>0</v>
      </c>
      <c r="T24" s="10">
        <f t="shared" si="6"/>
        <v>0</v>
      </c>
      <c r="V24" s="12">
        <f t="shared" si="8"/>
        <v>0</v>
      </c>
      <c r="W24" s="22">
        <v>0</v>
      </c>
      <c r="X24" s="35"/>
      <c r="Y24" s="32"/>
      <c r="Z24" s="10">
        <v>0</v>
      </c>
    </row>
    <row r="25" spans="1:26" x14ac:dyDescent="0.25">
      <c r="A25" s="8"/>
      <c r="B25" s="8">
        <v>0</v>
      </c>
      <c r="C25" s="8">
        <v>0</v>
      </c>
      <c r="D25" s="8">
        <v>0</v>
      </c>
      <c r="E25" s="46">
        <v>0</v>
      </c>
      <c r="F25" s="8">
        <v>0</v>
      </c>
      <c r="G25" s="8">
        <v>0</v>
      </c>
      <c r="H25" s="8">
        <v>0</v>
      </c>
      <c r="I25" s="47">
        <v>0</v>
      </c>
      <c r="J25" s="13">
        <f t="shared" si="0"/>
        <v>0</v>
      </c>
      <c r="K25" s="13">
        <f t="shared" si="1"/>
        <v>0</v>
      </c>
      <c r="L25" s="13">
        <f t="shared" si="2"/>
        <v>0</v>
      </c>
      <c r="M25" s="13">
        <f t="shared" si="3"/>
        <v>0</v>
      </c>
      <c r="N25" s="13">
        <f t="shared" si="4"/>
        <v>0</v>
      </c>
      <c r="O25" s="13">
        <f t="shared" si="5"/>
        <v>0</v>
      </c>
      <c r="P25" s="11">
        <f t="shared" si="7"/>
        <v>0</v>
      </c>
      <c r="Q25" s="11">
        <f t="shared" si="9"/>
        <v>0</v>
      </c>
      <c r="R25" s="11">
        <f t="shared" si="10"/>
        <v>0</v>
      </c>
      <c r="S25" s="11">
        <f t="shared" si="11"/>
        <v>0</v>
      </c>
      <c r="T25" s="11">
        <f t="shared" si="6"/>
        <v>0</v>
      </c>
      <c r="V25" s="19">
        <f t="shared" si="8"/>
        <v>0</v>
      </c>
      <c r="W25" s="23">
        <v>0</v>
      </c>
      <c r="X25" s="36"/>
      <c r="Y25" s="33"/>
      <c r="Z25" s="11">
        <v>0</v>
      </c>
    </row>
    <row r="26" spans="1:26" x14ac:dyDescent="0.25">
      <c r="A26" s="24"/>
      <c r="B26" s="6">
        <v>0</v>
      </c>
      <c r="C26" s="6">
        <v>0</v>
      </c>
      <c r="D26" s="6">
        <v>0</v>
      </c>
      <c r="E26" s="46">
        <v>0</v>
      </c>
      <c r="F26" s="6">
        <v>0</v>
      </c>
      <c r="G26" s="6">
        <v>0</v>
      </c>
      <c r="H26" s="6">
        <v>0</v>
      </c>
      <c r="I26" s="47">
        <v>0</v>
      </c>
      <c r="J26" s="9">
        <f t="shared" si="0"/>
        <v>0</v>
      </c>
      <c r="K26" s="9">
        <f t="shared" si="1"/>
        <v>0</v>
      </c>
      <c r="L26" s="9">
        <f t="shared" si="2"/>
        <v>0</v>
      </c>
      <c r="M26" s="9">
        <f t="shared" si="3"/>
        <v>0</v>
      </c>
      <c r="N26" s="9">
        <f t="shared" si="4"/>
        <v>0</v>
      </c>
      <c r="O26" s="14">
        <f t="shared" si="5"/>
        <v>0</v>
      </c>
      <c r="P26" s="9">
        <f t="shared" si="7"/>
        <v>0</v>
      </c>
      <c r="Q26" s="9">
        <f t="shared" si="9"/>
        <v>0</v>
      </c>
      <c r="R26" s="9">
        <f t="shared" si="10"/>
        <v>0</v>
      </c>
      <c r="S26" s="9">
        <f t="shared" si="11"/>
        <v>0</v>
      </c>
      <c r="T26" s="9">
        <f t="shared" si="6"/>
        <v>0</v>
      </c>
      <c r="V26" s="18">
        <f t="shared" si="8"/>
        <v>0</v>
      </c>
      <c r="W26" s="21">
        <v>0</v>
      </c>
      <c r="X26" s="34"/>
      <c r="Y26" s="31"/>
      <c r="Z26" s="9">
        <v>0</v>
      </c>
    </row>
    <row r="27" spans="1:26" x14ac:dyDescent="0.25">
      <c r="A27" s="26"/>
      <c r="B27" s="7">
        <v>0</v>
      </c>
      <c r="C27" s="7">
        <v>0</v>
      </c>
      <c r="D27" s="7">
        <v>0</v>
      </c>
      <c r="E27" s="46">
        <v>0</v>
      </c>
      <c r="F27" s="7">
        <v>0</v>
      </c>
      <c r="G27" s="7">
        <v>0</v>
      </c>
      <c r="H27" s="7">
        <v>0</v>
      </c>
      <c r="I27" s="47">
        <v>0</v>
      </c>
      <c r="J27" s="12">
        <f t="shared" si="0"/>
        <v>0</v>
      </c>
      <c r="K27" s="12">
        <f t="shared" si="1"/>
        <v>0</v>
      </c>
      <c r="L27" s="12">
        <f t="shared" si="2"/>
        <v>0</v>
      </c>
      <c r="M27" s="12">
        <f t="shared" si="3"/>
        <v>0</v>
      </c>
      <c r="N27" s="12">
        <f t="shared" si="4"/>
        <v>0</v>
      </c>
      <c r="O27" s="15">
        <f t="shared" si="5"/>
        <v>0</v>
      </c>
      <c r="P27" s="10">
        <f t="shared" si="7"/>
        <v>0</v>
      </c>
      <c r="Q27" s="10">
        <f t="shared" si="9"/>
        <v>0</v>
      </c>
      <c r="R27" s="10">
        <f t="shared" si="10"/>
        <v>0</v>
      </c>
      <c r="S27" s="10">
        <f t="shared" si="11"/>
        <v>0</v>
      </c>
      <c r="T27" s="10">
        <f t="shared" si="6"/>
        <v>0</v>
      </c>
      <c r="V27" s="12">
        <f t="shared" si="8"/>
        <v>0</v>
      </c>
      <c r="W27" s="22">
        <v>0</v>
      </c>
      <c r="X27" s="35"/>
      <c r="Y27" s="32"/>
      <c r="Z27" s="10">
        <v>0</v>
      </c>
    </row>
    <row r="28" spans="1:26" x14ac:dyDescent="0.25">
      <c r="A28" s="8"/>
      <c r="B28" s="8">
        <v>0</v>
      </c>
      <c r="C28" s="8">
        <v>0</v>
      </c>
      <c r="D28" s="8">
        <v>0</v>
      </c>
      <c r="E28" s="46">
        <v>0</v>
      </c>
      <c r="F28" s="8">
        <v>0</v>
      </c>
      <c r="G28" s="8">
        <v>0</v>
      </c>
      <c r="H28" s="8">
        <v>0</v>
      </c>
      <c r="I28" s="47">
        <v>0</v>
      </c>
      <c r="J28" s="13">
        <f t="shared" si="0"/>
        <v>0</v>
      </c>
      <c r="K28" s="13">
        <f t="shared" si="1"/>
        <v>0</v>
      </c>
      <c r="L28" s="13">
        <f t="shared" si="2"/>
        <v>0</v>
      </c>
      <c r="M28" s="13">
        <f t="shared" si="3"/>
        <v>0</v>
      </c>
      <c r="N28" s="13">
        <f t="shared" si="4"/>
        <v>0</v>
      </c>
      <c r="O28" s="13">
        <f t="shared" si="5"/>
        <v>0</v>
      </c>
      <c r="P28" s="11">
        <f t="shared" si="7"/>
        <v>0</v>
      </c>
      <c r="Q28" s="11">
        <f t="shared" si="9"/>
        <v>0</v>
      </c>
      <c r="R28" s="11">
        <f t="shared" si="10"/>
        <v>0</v>
      </c>
      <c r="S28" s="11">
        <f t="shared" si="11"/>
        <v>0</v>
      </c>
      <c r="T28" s="11">
        <f t="shared" si="6"/>
        <v>0</v>
      </c>
      <c r="V28" s="19">
        <f t="shared" si="8"/>
        <v>0</v>
      </c>
      <c r="W28" s="23">
        <v>0</v>
      </c>
      <c r="X28" s="36"/>
      <c r="Y28" s="33"/>
      <c r="Z28" s="11">
        <v>0</v>
      </c>
    </row>
    <row r="29" spans="1:26" x14ac:dyDescent="0.25">
      <c r="A29" s="24"/>
      <c r="B29" s="6">
        <v>0</v>
      </c>
      <c r="C29" s="6">
        <v>0</v>
      </c>
      <c r="D29" s="6">
        <v>0</v>
      </c>
      <c r="E29" s="46">
        <v>0</v>
      </c>
      <c r="F29" s="6">
        <v>0</v>
      </c>
      <c r="G29" s="6">
        <v>0</v>
      </c>
      <c r="H29" s="6">
        <v>0</v>
      </c>
      <c r="I29" s="47">
        <v>0</v>
      </c>
      <c r="J29" s="9">
        <f t="shared" si="0"/>
        <v>0</v>
      </c>
      <c r="K29" s="9">
        <f t="shared" si="1"/>
        <v>0</v>
      </c>
      <c r="L29" s="9">
        <f t="shared" si="2"/>
        <v>0</v>
      </c>
      <c r="M29" s="9">
        <f t="shared" si="3"/>
        <v>0</v>
      </c>
      <c r="N29" s="9">
        <f t="shared" si="4"/>
        <v>0</v>
      </c>
      <c r="O29" s="14">
        <f t="shared" si="5"/>
        <v>0</v>
      </c>
      <c r="P29" s="9">
        <f t="shared" si="7"/>
        <v>0</v>
      </c>
      <c r="Q29" s="9">
        <f t="shared" si="9"/>
        <v>0</v>
      </c>
      <c r="R29" s="9">
        <f t="shared" si="10"/>
        <v>0</v>
      </c>
      <c r="S29" s="9">
        <f t="shared" si="11"/>
        <v>0</v>
      </c>
      <c r="T29" s="9">
        <f t="shared" si="6"/>
        <v>0</v>
      </c>
      <c r="V29" s="18">
        <f t="shared" si="8"/>
        <v>0</v>
      </c>
      <c r="W29" s="21">
        <v>0</v>
      </c>
      <c r="X29" s="34"/>
      <c r="Y29" s="31"/>
      <c r="Z29" s="9">
        <v>0</v>
      </c>
    </row>
    <row r="30" spans="1:26" x14ac:dyDescent="0.25">
      <c r="A30" s="26"/>
      <c r="B30" s="7">
        <v>0</v>
      </c>
      <c r="C30" s="7">
        <v>0</v>
      </c>
      <c r="D30" s="7">
        <v>0</v>
      </c>
      <c r="E30" s="46">
        <v>0</v>
      </c>
      <c r="F30" s="7">
        <v>0</v>
      </c>
      <c r="G30" s="7">
        <v>0</v>
      </c>
      <c r="H30" s="7">
        <v>0</v>
      </c>
      <c r="I30" s="47">
        <v>0</v>
      </c>
      <c r="J30" s="12">
        <f t="shared" si="0"/>
        <v>0</v>
      </c>
      <c r="K30" s="12">
        <f t="shared" si="1"/>
        <v>0</v>
      </c>
      <c r="L30" s="12">
        <f t="shared" si="2"/>
        <v>0</v>
      </c>
      <c r="M30" s="12">
        <f t="shared" si="3"/>
        <v>0</v>
      </c>
      <c r="N30" s="12">
        <f t="shared" si="4"/>
        <v>0</v>
      </c>
      <c r="O30" s="15">
        <f t="shared" si="5"/>
        <v>0</v>
      </c>
      <c r="P30" s="10">
        <f t="shared" si="7"/>
        <v>0</v>
      </c>
      <c r="Q30" s="10">
        <f t="shared" si="9"/>
        <v>0</v>
      </c>
      <c r="R30" s="10">
        <f t="shared" si="10"/>
        <v>0</v>
      </c>
      <c r="S30" s="10">
        <f t="shared" si="11"/>
        <v>0</v>
      </c>
      <c r="T30" s="10">
        <f t="shared" si="6"/>
        <v>0</v>
      </c>
      <c r="V30" s="12">
        <f t="shared" si="8"/>
        <v>0</v>
      </c>
      <c r="W30" s="22">
        <v>0</v>
      </c>
      <c r="X30" s="35"/>
      <c r="Y30" s="32"/>
      <c r="Z30" s="10">
        <v>0</v>
      </c>
    </row>
    <row r="31" spans="1:26" x14ac:dyDescent="0.25">
      <c r="A31" s="8"/>
      <c r="B31" s="8">
        <v>0</v>
      </c>
      <c r="C31" s="8">
        <v>0</v>
      </c>
      <c r="D31" s="8">
        <v>0</v>
      </c>
      <c r="E31" s="46">
        <v>0</v>
      </c>
      <c r="F31" s="8">
        <v>0</v>
      </c>
      <c r="G31" s="8">
        <v>0</v>
      </c>
      <c r="H31" s="8">
        <v>0</v>
      </c>
      <c r="I31" s="47">
        <v>0</v>
      </c>
      <c r="J31" s="13">
        <f t="shared" si="0"/>
        <v>0</v>
      </c>
      <c r="K31" s="13">
        <f t="shared" si="1"/>
        <v>0</v>
      </c>
      <c r="L31" s="13">
        <f t="shared" si="2"/>
        <v>0</v>
      </c>
      <c r="M31" s="13">
        <f t="shared" si="3"/>
        <v>0</v>
      </c>
      <c r="N31" s="13">
        <f t="shared" si="4"/>
        <v>0</v>
      </c>
      <c r="O31" s="13">
        <f t="shared" si="5"/>
        <v>0</v>
      </c>
      <c r="P31" s="11">
        <f t="shared" si="7"/>
        <v>0</v>
      </c>
      <c r="Q31" s="11">
        <f t="shared" si="9"/>
        <v>0</v>
      </c>
      <c r="R31" s="11">
        <f t="shared" si="10"/>
        <v>0</v>
      </c>
      <c r="S31" s="11">
        <f t="shared" si="11"/>
        <v>0</v>
      </c>
      <c r="T31" s="11">
        <f t="shared" si="6"/>
        <v>0</v>
      </c>
      <c r="V31" s="19">
        <f t="shared" si="8"/>
        <v>0</v>
      </c>
      <c r="W31" s="23">
        <v>0</v>
      </c>
      <c r="X31" s="36"/>
      <c r="Y31" s="33"/>
      <c r="Z31" s="11">
        <v>0</v>
      </c>
    </row>
    <row r="32" spans="1:26" x14ac:dyDescent="0.25">
      <c r="A32" s="24"/>
      <c r="B32" s="6">
        <v>0</v>
      </c>
      <c r="C32" s="6">
        <v>0</v>
      </c>
      <c r="D32" s="6">
        <v>0</v>
      </c>
      <c r="E32" s="46">
        <v>0</v>
      </c>
      <c r="F32" s="6">
        <v>0</v>
      </c>
      <c r="G32" s="6">
        <v>0</v>
      </c>
      <c r="H32" s="6">
        <v>0</v>
      </c>
      <c r="I32" s="47">
        <v>0</v>
      </c>
      <c r="J32" s="9">
        <f t="shared" si="0"/>
        <v>0</v>
      </c>
      <c r="K32" s="9">
        <f t="shared" si="1"/>
        <v>0</v>
      </c>
      <c r="L32" s="9">
        <f t="shared" si="2"/>
        <v>0</v>
      </c>
      <c r="M32" s="9">
        <f t="shared" si="3"/>
        <v>0</v>
      </c>
      <c r="N32" s="9">
        <f t="shared" si="4"/>
        <v>0</v>
      </c>
      <c r="O32" s="14">
        <f t="shared" si="5"/>
        <v>0</v>
      </c>
      <c r="P32" s="9">
        <f t="shared" si="7"/>
        <v>0</v>
      </c>
      <c r="Q32" s="9">
        <f t="shared" si="9"/>
        <v>0</v>
      </c>
      <c r="R32" s="9">
        <f t="shared" si="10"/>
        <v>0</v>
      </c>
      <c r="S32" s="9">
        <f t="shared" si="11"/>
        <v>0</v>
      </c>
      <c r="T32" s="9">
        <f t="shared" si="6"/>
        <v>0</v>
      </c>
      <c r="V32" s="18">
        <f t="shared" si="8"/>
        <v>0</v>
      </c>
      <c r="W32" s="21">
        <v>0</v>
      </c>
      <c r="X32" s="34"/>
      <c r="Y32" s="31"/>
      <c r="Z32" s="9">
        <v>0</v>
      </c>
    </row>
    <row r="33" spans="1:26" x14ac:dyDescent="0.25">
      <c r="A33" s="26"/>
      <c r="B33" s="7">
        <v>0</v>
      </c>
      <c r="C33" s="7">
        <v>0</v>
      </c>
      <c r="D33" s="7">
        <v>0</v>
      </c>
      <c r="E33" s="46">
        <v>0</v>
      </c>
      <c r="F33" s="7">
        <v>0</v>
      </c>
      <c r="G33" s="7">
        <v>0</v>
      </c>
      <c r="H33" s="7">
        <v>0</v>
      </c>
      <c r="I33" s="47">
        <v>0</v>
      </c>
      <c r="J33" s="12">
        <f t="shared" si="0"/>
        <v>0</v>
      </c>
      <c r="K33" s="12">
        <f t="shared" si="1"/>
        <v>0</v>
      </c>
      <c r="L33" s="12">
        <f t="shared" si="2"/>
        <v>0</v>
      </c>
      <c r="M33" s="12">
        <f t="shared" si="3"/>
        <v>0</v>
      </c>
      <c r="N33" s="12">
        <f t="shared" si="4"/>
        <v>0</v>
      </c>
      <c r="O33" s="15">
        <f t="shared" si="5"/>
        <v>0</v>
      </c>
      <c r="P33" s="10">
        <f t="shared" si="7"/>
        <v>0</v>
      </c>
      <c r="Q33" s="10">
        <f t="shared" si="9"/>
        <v>0</v>
      </c>
      <c r="R33" s="10">
        <f t="shared" si="10"/>
        <v>0</v>
      </c>
      <c r="S33" s="10">
        <f t="shared" si="11"/>
        <v>0</v>
      </c>
      <c r="T33" s="10">
        <f t="shared" si="6"/>
        <v>0</v>
      </c>
      <c r="V33" s="12">
        <f t="shared" si="8"/>
        <v>0</v>
      </c>
      <c r="W33" s="22">
        <v>0</v>
      </c>
      <c r="X33" s="35"/>
      <c r="Y33" s="32"/>
      <c r="Z33" s="10">
        <v>0</v>
      </c>
    </row>
    <row r="34" spans="1:26" x14ac:dyDescent="0.25">
      <c r="A34" s="8"/>
      <c r="B34" s="8">
        <v>0</v>
      </c>
      <c r="C34" s="8">
        <v>0</v>
      </c>
      <c r="D34" s="8">
        <v>0</v>
      </c>
      <c r="E34" s="46">
        <v>0</v>
      </c>
      <c r="F34" s="8">
        <v>0</v>
      </c>
      <c r="G34" s="8">
        <v>0</v>
      </c>
      <c r="H34" s="8">
        <v>0</v>
      </c>
      <c r="I34" s="47">
        <v>0</v>
      </c>
      <c r="J34" s="13">
        <f t="shared" si="0"/>
        <v>0</v>
      </c>
      <c r="K34" s="13">
        <f t="shared" si="1"/>
        <v>0</v>
      </c>
      <c r="L34" s="13">
        <f t="shared" si="2"/>
        <v>0</v>
      </c>
      <c r="M34" s="13">
        <f t="shared" si="3"/>
        <v>0</v>
      </c>
      <c r="N34" s="13">
        <f t="shared" si="4"/>
        <v>0</v>
      </c>
      <c r="O34" s="13">
        <f t="shared" si="5"/>
        <v>0</v>
      </c>
      <c r="P34" s="11">
        <f t="shared" si="7"/>
        <v>0</v>
      </c>
      <c r="Q34" s="11">
        <f t="shared" si="9"/>
        <v>0</v>
      </c>
      <c r="R34" s="11">
        <f t="shared" si="10"/>
        <v>0</v>
      </c>
      <c r="S34" s="11">
        <f t="shared" si="11"/>
        <v>0</v>
      </c>
      <c r="T34" s="11">
        <f t="shared" si="6"/>
        <v>0</v>
      </c>
      <c r="V34" s="19">
        <f t="shared" si="8"/>
        <v>0</v>
      </c>
      <c r="W34" s="23">
        <v>0</v>
      </c>
      <c r="X34" s="36"/>
      <c r="Y34" s="33"/>
      <c r="Z34" s="11">
        <v>0</v>
      </c>
    </row>
    <row r="35" spans="1:26" x14ac:dyDescent="0.25">
      <c r="A35" s="24"/>
      <c r="B35" s="6">
        <v>0</v>
      </c>
      <c r="C35" s="6">
        <v>0</v>
      </c>
      <c r="D35" s="6">
        <v>0</v>
      </c>
      <c r="E35" s="46">
        <v>0</v>
      </c>
      <c r="F35" s="6">
        <v>0</v>
      </c>
      <c r="G35" s="6">
        <v>0</v>
      </c>
      <c r="H35" s="6">
        <v>0</v>
      </c>
      <c r="I35" s="47">
        <v>0</v>
      </c>
      <c r="J35" s="9">
        <f t="shared" si="0"/>
        <v>0</v>
      </c>
      <c r="K35" s="9">
        <f t="shared" si="1"/>
        <v>0</v>
      </c>
      <c r="L35" s="9">
        <f t="shared" si="2"/>
        <v>0</v>
      </c>
      <c r="M35" s="9">
        <f t="shared" si="3"/>
        <v>0</v>
      </c>
      <c r="N35" s="9">
        <f t="shared" si="4"/>
        <v>0</v>
      </c>
      <c r="O35" s="14">
        <f t="shared" si="5"/>
        <v>0</v>
      </c>
      <c r="P35" s="9">
        <f t="shared" si="7"/>
        <v>0</v>
      </c>
      <c r="Q35" s="9">
        <f t="shared" si="9"/>
        <v>0</v>
      </c>
      <c r="R35" s="9">
        <f t="shared" si="10"/>
        <v>0</v>
      </c>
      <c r="S35" s="9">
        <f t="shared" si="11"/>
        <v>0</v>
      </c>
      <c r="T35" s="9">
        <f t="shared" si="6"/>
        <v>0</v>
      </c>
      <c r="V35" s="18">
        <f t="shared" si="8"/>
        <v>0</v>
      </c>
      <c r="W35" s="21">
        <v>0</v>
      </c>
      <c r="X35" s="34"/>
      <c r="Y35" s="31"/>
      <c r="Z35" s="9">
        <v>0</v>
      </c>
    </row>
    <row r="36" spans="1:26" x14ac:dyDescent="0.25">
      <c r="A36" s="26"/>
      <c r="B36" s="7">
        <v>0</v>
      </c>
      <c r="C36" s="7">
        <v>0</v>
      </c>
      <c r="D36" s="7">
        <v>0</v>
      </c>
      <c r="E36" s="46">
        <v>0</v>
      </c>
      <c r="F36" s="7">
        <v>0</v>
      </c>
      <c r="G36" s="7">
        <v>0</v>
      </c>
      <c r="H36" s="7">
        <v>0</v>
      </c>
      <c r="I36" s="47">
        <v>0</v>
      </c>
      <c r="J36" s="12">
        <f t="shared" si="0"/>
        <v>0</v>
      </c>
      <c r="K36" s="12">
        <f t="shared" si="1"/>
        <v>0</v>
      </c>
      <c r="L36" s="12">
        <f t="shared" si="2"/>
        <v>0</v>
      </c>
      <c r="M36" s="12">
        <f t="shared" si="3"/>
        <v>0</v>
      </c>
      <c r="N36" s="12">
        <f t="shared" si="4"/>
        <v>0</v>
      </c>
      <c r="O36" s="15">
        <f t="shared" si="5"/>
        <v>0</v>
      </c>
      <c r="P36" s="10">
        <f t="shared" si="7"/>
        <v>0</v>
      </c>
      <c r="Q36" s="10">
        <f t="shared" si="9"/>
        <v>0</v>
      </c>
      <c r="R36" s="10">
        <f t="shared" si="10"/>
        <v>0</v>
      </c>
      <c r="S36" s="10">
        <f t="shared" si="11"/>
        <v>0</v>
      </c>
      <c r="T36" s="10">
        <f t="shared" si="6"/>
        <v>0</v>
      </c>
      <c r="V36" s="12">
        <f t="shared" si="8"/>
        <v>0</v>
      </c>
      <c r="W36" s="22">
        <v>0</v>
      </c>
      <c r="X36" s="35"/>
      <c r="Y36" s="32"/>
      <c r="Z36" s="10">
        <v>0</v>
      </c>
    </row>
    <row r="37" spans="1:26" x14ac:dyDescent="0.25">
      <c r="A37" s="8"/>
      <c r="B37" s="8">
        <v>0</v>
      </c>
      <c r="C37" s="8">
        <v>0</v>
      </c>
      <c r="D37" s="8">
        <v>0</v>
      </c>
      <c r="E37" s="46">
        <v>0</v>
      </c>
      <c r="F37" s="8">
        <v>0</v>
      </c>
      <c r="G37" s="8">
        <v>0</v>
      </c>
      <c r="H37" s="8">
        <v>0</v>
      </c>
      <c r="I37" s="47">
        <v>0</v>
      </c>
      <c r="J37" s="13">
        <f t="shared" si="0"/>
        <v>0</v>
      </c>
      <c r="K37" s="13">
        <f t="shared" si="1"/>
        <v>0</v>
      </c>
      <c r="L37" s="13">
        <f t="shared" si="2"/>
        <v>0</v>
      </c>
      <c r="M37" s="13">
        <f t="shared" si="3"/>
        <v>0</v>
      </c>
      <c r="N37" s="13">
        <f t="shared" si="4"/>
        <v>0</v>
      </c>
      <c r="O37" s="13">
        <f t="shared" si="5"/>
        <v>0</v>
      </c>
      <c r="P37" s="11">
        <f t="shared" si="7"/>
        <v>0</v>
      </c>
      <c r="Q37" s="11">
        <f t="shared" si="9"/>
        <v>0</v>
      </c>
      <c r="R37" s="11">
        <f t="shared" si="10"/>
        <v>0</v>
      </c>
      <c r="S37" s="11">
        <f t="shared" si="11"/>
        <v>0</v>
      </c>
      <c r="T37" s="11">
        <f t="shared" si="6"/>
        <v>0</v>
      </c>
      <c r="V37" s="19">
        <f t="shared" si="8"/>
        <v>0</v>
      </c>
      <c r="W37" s="23">
        <v>0</v>
      </c>
      <c r="X37" s="36"/>
      <c r="Y37" s="33"/>
      <c r="Z37" s="11">
        <v>0</v>
      </c>
    </row>
    <row r="38" spans="1:26" x14ac:dyDescent="0.25">
      <c r="A38" s="24"/>
      <c r="B38" s="6">
        <v>0</v>
      </c>
      <c r="C38" s="6">
        <v>0</v>
      </c>
      <c r="D38" s="6">
        <v>0</v>
      </c>
      <c r="E38" s="46">
        <v>0</v>
      </c>
      <c r="F38" s="6">
        <v>0</v>
      </c>
      <c r="G38" s="6">
        <v>0</v>
      </c>
      <c r="H38" s="6">
        <v>0</v>
      </c>
      <c r="I38" s="47">
        <v>0</v>
      </c>
      <c r="J38" s="9">
        <f t="shared" si="0"/>
        <v>0</v>
      </c>
      <c r="K38" s="9">
        <f t="shared" si="1"/>
        <v>0</v>
      </c>
      <c r="L38" s="9">
        <f t="shared" si="2"/>
        <v>0</v>
      </c>
      <c r="M38" s="9">
        <f t="shared" si="3"/>
        <v>0</v>
      </c>
      <c r="N38" s="9">
        <f t="shared" si="4"/>
        <v>0</v>
      </c>
      <c r="O38" s="14">
        <f t="shared" si="5"/>
        <v>0</v>
      </c>
      <c r="P38" s="9">
        <f t="shared" si="7"/>
        <v>0</v>
      </c>
      <c r="Q38" s="9">
        <f t="shared" si="9"/>
        <v>0</v>
      </c>
      <c r="R38" s="9">
        <f t="shared" si="10"/>
        <v>0</v>
      </c>
      <c r="S38" s="9">
        <f t="shared" si="11"/>
        <v>0</v>
      </c>
      <c r="T38" s="9">
        <f t="shared" si="6"/>
        <v>0</v>
      </c>
      <c r="V38" s="18">
        <f t="shared" si="8"/>
        <v>0</v>
      </c>
      <c r="W38" s="21">
        <v>0</v>
      </c>
      <c r="X38" s="34"/>
      <c r="Y38" s="31"/>
      <c r="Z38" s="9">
        <v>0</v>
      </c>
    </row>
    <row r="39" spans="1:26" x14ac:dyDescent="0.25">
      <c r="A39" s="26"/>
      <c r="B39" s="7">
        <v>0</v>
      </c>
      <c r="C39" s="7">
        <v>0</v>
      </c>
      <c r="D39" s="7">
        <v>0</v>
      </c>
      <c r="E39" s="46">
        <v>0</v>
      </c>
      <c r="F39" s="7">
        <v>0</v>
      </c>
      <c r="G39" s="7">
        <v>0</v>
      </c>
      <c r="H39" s="7">
        <v>0</v>
      </c>
      <c r="I39" s="47">
        <v>0</v>
      </c>
      <c r="J39" s="12">
        <f t="shared" si="0"/>
        <v>0</v>
      </c>
      <c r="K39" s="12">
        <f t="shared" si="1"/>
        <v>0</v>
      </c>
      <c r="L39" s="12">
        <f t="shared" si="2"/>
        <v>0</v>
      </c>
      <c r="M39" s="12">
        <f t="shared" si="3"/>
        <v>0</v>
      </c>
      <c r="N39" s="12">
        <f t="shared" si="4"/>
        <v>0</v>
      </c>
      <c r="O39" s="15">
        <f t="shared" si="5"/>
        <v>0</v>
      </c>
      <c r="P39" s="10">
        <f t="shared" si="7"/>
        <v>0</v>
      </c>
      <c r="Q39" s="10">
        <f t="shared" si="9"/>
        <v>0</v>
      </c>
      <c r="R39" s="10">
        <f t="shared" si="10"/>
        <v>0</v>
      </c>
      <c r="S39" s="10">
        <f t="shared" si="11"/>
        <v>0</v>
      </c>
      <c r="T39" s="10">
        <f t="shared" si="6"/>
        <v>0</v>
      </c>
      <c r="V39" s="12">
        <f t="shared" si="8"/>
        <v>0</v>
      </c>
      <c r="W39" s="22">
        <v>0</v>
      </c>
      <c r="X39" s="35"/>
      <c r="Y39" s="32"/>
      <c r="Z39" s="10">
        <v>0</v>
      </c>
    </row>
    <row r="40" spans="1:26" x14ac:dyDescent="0.25">
      <c r="A40" s="8"/>
      <c r="B40" s="8">
        <v>0</v>
      </c>
      <c r="C40" s="8">
        <v>0</v>
      </c>
      <c r="D40" s="8">
        <v>0</v>
      </c>
      <c r="E40" s="46">
        <v>0</v>
      </c>
      <c r="F40" s="8">
        <v>0</v>
      </c>
      <c r="G40" s="8">
        <v>0</v>
      </c>
      <c r="H40" s="8">
        <v>0</v>
      </c>
      <c r="I40" s="47">
        <v>0</v>
      </c>
      <c r="J40" s="13">
        <f t="shared" si="0"/>
        <v>0</v>
      </c>
      <c r="K40" s="13">
        <f t="shared" si="1"/>
        <v>0</v>
      </c>
      <c r="L40" s="13">
        <f t="shared" si="2"/>
        <v>0</v>
      </c>
      <c r="M40" s="13">
        <f t="shared" si="3"/>
        <v>0</v>
      </c>
      <c r="N40" s="13">
        <f t="shared" si="4"/>
        <v>0</v>
      </c>
      <c r="O40" s="13">
        <f t="shared" si="5"/>
        <v>0</v>
      </c>
      <c r="P40" s="11">
        <f t="shared" si="7"/>
        <v>0</v>
      </c>
      <c r="Q40" s="11">
        <f t="shared" si="9"/>
        <v>0</v>
      </c>
      <c r="R40" s="11">
        <f t="shared" si="10"/>
        <v>0</v>
      </c>
      <c r="S40" s="11">
        <f t="shared" si="11"/>
        <v>0</v>
      </c>
      <c r="T40" s="11">
        <f t="shared" si="6"/>
        <v>0</v>
      </c>
      <c r="V40" s="19">
        <f t="shared" si="8"/>
        <v>0</v>
      </c>
      <c r="W40" s="23">
        <v>0</v>
      </c>
      <c r="X40" s="36"/>
      <c r="Y40" s="33"/>
      <c r="Z40" s="11">
        <v>0</v>
      </c>
    </row>
    <row r="41" spans="1:26" x14ac:dyDescent="0.25">
      <c r="A41" s="24"/>
      <c r="B41" s="6">
        <v>0</v>
      </c>
      <c r="C41" s="6">
        <v>0</v>
      </c>
      <c r="D41" s="6">
        <v>0</v>
      </c>
      <c r="E41" s="46">
        <v>0</v>
      </c>
      <c r="F41" s="6">
        <v>0</v>
      </c>
      <c r="G41" s="6">
        <v>0</v>
      </c>
      <c r="H41" s="6">
        <v>0</v>
      </c>
      <c r="I41" s="47">
        <v>0</v>
      </c>
      <c r="J41" s="9">
        <f t="shared" si="0"/>
        <v>0</v>
      </c>
      <c r="K41" s="9">
        <f t="shared" si="1"/>
        <v>0</v>
      </c>
      <c r="L41" s="9">
        <f t="shared" si="2"/>
        <v>0</v>
      </c>
      <c r="M41" s="9">
        <f t="shared" si="3"/>
        <v>0</v>
      </c>
      <c r="N41" s="9">
        <f t="shared" si="4"/>
        <v>0</v>
      </c>
      <c r="O41" s="14">
        <f t="shared" si="5"/>
        <v>0</v>
      </c>
      <c r="P41" s="9">
        <f t="shared" si="7"/>
        <v>0</v>
      </c>
      <c r="Q41" s="9">
        <f t="shared" si="9"/>
        <v>0</v>
      </c>
      <c r="R41" s="9">
        <f t="shared" si="10"/>
        <v>0</v>
      </c>
      <c r="S41" s="9">
        <f t="shared" si="11"/>
        <v>0</v>
      </c>
      <c r="T41" s="9">
        <f t="shared" si="6"/>
        <v>0</v>
      </c>
      <c r="V41" s="18">
        <f t="shared" si="8"/>
        <v>0</v>
      </c>
      <c r="W41" s="21">
        <v>0</v>
      </c>
      <c r="X41" s="34"/>
      <c r="Y41" s="31"/>
      <c r="Z41" s="9">
        <v>0</v>
      </c>
    </row>
    <row r="42" spans="1:26" x14ac:dyDescent="0.25">
      <c r="A42" s="26"/>
      <c r="B42" s="7">
        <v>0</v>
      </c>
      <c r="C42" s="7">
        <v>0</v>
      </c>
      <c r="D42" s="7">
        <v>0</v>
      </c>
      <c r="E42" s="46">
        <v>0</v>
      </c>
      <c r="F42" s="7">
        <v>0</v>
      </c>
      <c r="G42" s="7">
        <v>0</v>
      </c>
      <c r="H42" s="7">
        <v>0</v>
      </c>
      <c r="I42" s="47">
        <v>0</v>
      </c>
      <c r="J42" s="12">
        <f t="shared" si="0"/>
        <v>0</v>
      </c>
      <c r="K42" s="12">
        <f t="shared" si="1"/>
        <v>0</v>
      </c>
      <c r="L42" s="12">
        <f t="shared" si="2"/>
        <v>0</v>
      </c>
      <c r="M42" s="12">
        <f t="shared" si="3"/>
        <v>0</v>
      </c>
      <c r="N42" s="12">
        <f t="shared" si="4"/>
        <v>0</v>
      </c>
      <c r="O42" s="15">
        <f t="shared" si="5"/>
        <v>0</v>
      </c>
      <c r="P42" s="10">
        <f t="shared" si="7"/>
        <v>0</v>
      </c>
      <c r="Q42" s="10">
        <f t="shared" si="9"/>
        <v>0</v>
      </c>
      <c r="R42" s="10">
        <f t="shared" si="10"/>
        <v>0</v>
      </c>
      <c r="S42" s="10">
        <f t="shared" si="11"/>
        <v>0</v>
      </c>
      <c r="T42" s="10">
        <f t="shared" si="6"/>
        <v>0</v>
      </c>
      <c r="V42" s="12">
        <f t="shared" si="8"/>
        <v>0</v>
      </c>
      <c r="W42" s="22">
        <v>0</v>
      </c>
      <c r="X42" s="35"/>
      <c r="Y42" s="32"/>
      <c r="Z42" s="10">
        <v>0</v>
      </c>
    </row>
    <row r="43" spans="1:26" x14ac:dyDescent="0.25">
      <c r="A43" s="8"/>
      <c r="B43" s="8">
        <v>0</v>
      </c>
      <c r="C43" s="8">
        <v>0</v>
      </c>
      <c r="D43" s="8">
        <v>0</v>
      </c>
      <c r="E43" s="46">
        <v>0</v>
      </c>
      <c r="F43" s="8">
        <v>0</v>
      </c>
      <c r="G43" s="8">
        <v>0</v>
      </c>
      <c r="H43" s="8">
        <v>0</v>
      </c>
      <c r="I43" s="47">
        <v>0</v>
      </c>
      <c r="J43" s="13">
        <f t="shared" si="0"/>
        <v>0</v>
      </c>
      <c r="K43" s="13">
        <f t="shared" si="1"/>
        <v>0</v>
      </c>
      <c r="L43" s="13">
        <f t="shared" si="2"/>
        <v>0</v>
      </c>
      <c r="M43" s="13">
        <f t="shared" si="3"/>
        <v>0</v>
      </c>
      <c r="N43" s="13">
        <f t="shared" si="4"/>
        <v>0</v>
      </c>
      <c r="O43" s="13">
        <f t="shared" si="5"/>
        <v>0</v>
      </c>
      <c r="P43" s="11">
        <f t="shared" si="7"/>
        <v>0</v>
      </c>
      <c r="Q43" s="11">
        <f t="shared" si="9"/>
        <v>0</v>
      </c>
      <c r="R43" s="11">
        <f t="shared" si="10"/>
        <v>0</v>
      </c>
      <c r="S43" s="11">
        <f t="shared" si="11"/>
        <v>0</v>
      </c>
      <c r="T43" s="11">
        <f t="shared" si="6"/>
        <v>0</v>
      </c>
      <c r="V43" s="19">
        <f t="shared" si="8"/>
        <v>0</v>
      </c>
      <c r="W43" s="23">
        <v>0</v>
      </c>
      <c r="X43" s="36"/>
      <c r="Y43" s="33"/>
      <c r="Z43" s="11">
        <v>0</v>
      </c>
    </row>
    <row r="44" spans="1:26" x14ac:dyDescent="0.25">
      <c r="A44" s="24"/>
      <c r="B44" s="6">
        <v>0</v>
      </c>
      <c r="C44" s="6">
        <v>0</v>
      </c>
      <c r="D44" s="6">
        <v>0</v>
      </c>
      <c r="E44" s="46">
        <v>0</v>
      </c>
      <c r="F44" s="6">
        <v>0</v>
      </c>
      <c r="G44" s="6">
        <v>0</v>
      </c>
      <c r="H44" s="6">
        <v>0</v>
      </c>
      <c r="I44" s="47">
        <v>0</v>
      </c>
      <c r="J44" s="9">
        <f t="shared" si="0"/>
        <v>0</v>
      </c>
      <c r="K44" s="9">
        <f t="shared" si="1"/>
        <v>0</v>
      </c>
      <c r="L44" s="9">
        <f t="shared" si="2"/>
        <v>0</v>
      </c>
      <c r="M44" s="9">
        <f t="shared" si="3"/>
        <v>0</v>
      </c>
      <c r="N44" s="9">
        <f t="shared" si="4"/>
        <v>0</v>
      </c>
      <c r="O44" s="14">
        <f t="shared" si="5"/>
        <v>0</v>
      </c>
      <c r="P44" s="9">
        <f t="shared" si="7"/>
        <v>0</v>
      </c>
      <c r="Q44" s="9">
        <f t="shared" si="9"/>
        <v>0</v>
      </c>
      <c r="R44" s="9">
        <f t="shared" si="10"/>
        <v>0</v>
      </c>
      <c r="S44" s="9">
        <f t="shared" si="11"/>
        <v>0</v>
      </c>
      <c r="T44" s="9">
        <f t="shared" si="6"/>
        <v>0</v>
      </c>
      <c r="V44" s="18">
        <f t="shared" si="8"/>
        <v>0</v>
      </c>
      <c r="W44" s="21">
        <v>0</v>
      </c>
      <c r="X44" s="34"/>
      <c r="Y44" s="31"/>
      <c r="Z44" s="9">
        <v>0</v>
      </c>
    </row>
    <row r="45" spans="1:26" x14ac:dyDescent="0.25">
      <c r="A45" s="26"/>
      <c r="B45" s="7">
        <v>0</v>
      </c>
      <c r="C45" s="7">
        <v>0</v>
      </c>
      <c r="D45" s="7">
        <v>0</v>
      </c>
      <c r="E45" s="46">
        <v>0</v>
      </c>
      <c r="F45" s="7">
        <v>0</v>
      </c>
      <c r="G45" s="7">
        <v>0</v>
      </c>
      <c r="H45" s="7">
        <v>0</v>
      </c>
      <c r="I45" s="47">
        <v>0</v>
      </c>
      <c r="J45" s="12">
        <f t="shared" si="0"/>
        <v>0</v>
      </c>
      <c r="K45" s="12">
        <f t="shared" si="1"/>
        <v>0</v>
      </c>
      <c r="L45" s="12">
        <f t="shared" si="2"/>
        <v>0</v>
      </c>
      <c r="M45" s="12">
        <f t="shared" si="3"/>
        <v>0</v>
      </c>
      <c r="N45" s="12">
        <f t="shared" si="4"/>
        <v>0</v>
      </c>
      <c r="O45" s="15">
        <f t="shared" si="5"/>
        <v>0</v>
      </c>
      <c r="P45" s="10">
        <f t="shared" si="7"/>
        <v>0</v>
      </c>
      <c r="Q45" s="10">
        <f t="shared" si="9"/>
        <v>0</v>
      </c>
      <c r="R45" s="10">
        <f t="shared" si="10"/>
        <v>0</v>
      </c>
      <c r="S45" s="10">
        <f t="shared" si="11"/>
        <v>0</v>
      </c>
      <c r="T45" s="10">
        <f t="shared" si="6"/>
        <v>0</v>
      </c>
      <c r="V45" s="12">
        <f t="shared" si="8"/>
        <v>0</v>
      </c>
      <c r="W45" s="22">
        <v>0</v>
      </c>
      <c r="X45" s="35"/>
      <c r="Y45" s="32"/>
      <c r="Z45" s="10">
        <v>0</v>
      </c>
    </row>
    <row r="46" spans="1:26" x14ac:dyDescent="0.25">
      <c r="A46" s="8"/>
      <c r="B46" s="8">
        <v>0</v>
      </c>
      <c r="C46" s="8">
        <v>0</v>
      </c>
      <c r="D46" s="8">
        <v>0</v>
      </c>
      <c r="E46" s="46">
        <v>0</v>
      </c>
      <c r="F46" s="8">
        <v>0</v>
      </c>
      <c r="G46" s="8">
        <v>0</v>
      </c>
      <c r="H46" s="8">
        <v>0</v>
      </c>
      <c r="I46" s="47">
        <v>0</v>
      </c>
      <c r="J46" s="13">
        <f t="shared" si="0"/>
        <v>0</v>
      </c>
      <c r="K46" s="13">
        <f t="shared" si="1"/>
        <v>0</v>
      </c>
      <c r="L46" s="13">
        <f t="shared" si="2"/>
        <v>0</v>
      </c>
      <c r="M46" s="13">
        <f t="shared" si="3"/>
        <v>0</v>
      </c>
      <c r="N46" s="13">
        <f t="shared" si="4"/>
        <v>0</v>
      </c>
      <c r="O46" s="13">
        <f t="shared" si="5"/>
        <v>0</v>
      </c>
      <c r="P46" s="11">
        <f t="shared" si="7"/>
        <v>0</v>
      </c>
      <c r="Q46" s="11">
        <f t="shared" si="9"/>
        <v>0</v>
      </c>
      <c r="R46" s="11">
        <f t="shared" si="10"/>
        <v>0</v>
      </c>
      <c r="S46" s="11">
        <f t="shared" si="11"/>
        <v>0</v>
      </c>
      <c r="T46" s="11">
        <f t="shared" si="6"/>
        <v>0</v>
      </c>
      <c r="V46" s="19">
        <f t="shared" si="8"/>
        <v>0</v>
      </c>
      <c r="W46" s="23">
        <v>0</v>
      </c>
      <c r="X46" s="36"/>
      <c r="Y46" s="33"/>
      <c r="Z46" s="11">
        <v>0</v>
      </c>
    </row>
    <row r="47" spans="1:26" x14ac:dyDescent="0.25">
      <c r="A47" s="24"/>
      <c r="B47" s="6">
        <v>0</v>
      </c>
      <c r="C47" s="6">
        <v>0</v>
      </c>
      <c r="D47" s="6">
        <v>0</v>
      </c>
      <c r="E47" s="46">
        <v>0</v>
      </c>
      <c r="F47" s="6">
        <v>0</v>
      </c>
      <c r="G47" s="6">
        <v>0</v>
      </c>
      <c r="H47" s="6">
        <v>0</v>
      </c>
      <c r="I47" s="47">
        <v>0</v>
      </c>
      <c r="J47" s="9">
        <f t="shared" si="0"/>
        <v>0</v>
      </c>
      <c r="K47" s="9">
        <f t="shared" si="1"/>
        <v>0</v>
      </c>
      <c r="L47" s="9">
        <f t="shared" si="2"/>
        <v>0</v>
      </c>
      <c r="M47" s="9">
        <f t="shared" si="3"/>
        <v>0</v>
      </c>
      <c r="N47" s="9">
        <f t="shared" si="4"/>
        <v>0</v>
      </c>
      <c r="O47" s="14">
        <f t="shared" si="5"/>
        <v>0</v>
      </c>
      <c r="P47" s="9">
        <f t="shared" si="7"/>
        <v>0</v>
      </c>
      <c r="Q47" s="9">
        <f t="shared" si="9"/>
        <v>0</v>
      </c>
      <c r="R47" s="9">
        <f t="shared" si="10"/>
        <v>0</v>
      </c>
      <c r="S47" s="9">
        <f t="shared" si="11"/>
        <v>0</v>
      </c>
      <c r="T47" s="9">
        <f t="shared" si="6"/>
        <v>0</v>
      </c>
      <c r="V47" s="18">
        <f t="shared" si="8"/>
        <v>0</v>
      </c>
      <c r="W47" s="21">
        <v>0</v>
      </c>
      <c r="X47" s="34"/>
      <c r="Y47" s="31"/>
      <c r="Z47" s="9">
        <v>0</v>
      </c>
    </row>
    <row r="48" spans="1:26" x14ac:dyDescent="0.25">
      <c r="A48" s="26"/>
      <c r="B48" s="7">
        <v>0</v>
      </c>
      <c r="C48" s="7">
        <v>0</v>
      </c>
      <c r="D48" s="7">
        <v>0</v>
      </c>
      <c r="E48" s="46">
        <v>0</v>
      </c>
      <c r="F48" s="7">
        <v>0</v>
      </c>
      <c r="G48" s="7">
        <v>0</v>
      </c>
      <c r="H48" s="7">
        <v>0</v>
      </c>
      <c r="I48" s="47">
        <v>0</v>
      </c>
      <c r="J48" s="12">
        <f t="shared" si="0"/>
        <v>0</v>
      </c>
      <c r="K48" s="12">
        <f t="shared" si="1"/>
        <v>0</v>
      </c>
      <c r="L48" s="12">
        <f t="shared" si="2"/>
        <v>0</v>
      </c>
      <c r="M48" s="12">
        <f t="shared" si="3"/>
        <v>0</v>
      </c>
      <c r="N48" s="12">
        <f t="shared" si="4"/>
        <v>0</v>
      </c>
      <c r="O48" s="15">
        <f t="shared" si="5"/>
        <v>0</v>
      </c>
      <c r="P48" s="10">
        <f t="shared" si="7"/>
        <v>0</v>
      </c>
      <c r="Q48" s="10">
        <f t="shared" si="9"/>
        <v>0</v>
      </c>
      <c r="R48" s="10">
        <f t="shared" si="10"/>
        <v>0</v>
      </c>
      <c r="S48" s="10">
        <f t="shared" si="11"/>
        <v>0</v>
      </c>
      <c r="T48" s="10">
        <f t="shared" si="6"/>
        <v>0</v>
      </c>
      <c r="V48" s="12">
        <f t="shared" si="8"/>
        <v>0</v>
      </c>
      <c r="W48" s="22">
        <v>0</v>
      </c>
      <c r="X48" s="35"/>
      <c r="Y48" s="32"/>
      <c r="Z48" s="10">
        <v>0</v>
      </c>
    </row>
    <row r="49" spans="1:31" ht="15.75" thickBot="1" x14ac:dyDescent="0.3">
      <c r="A49" s="8"/>
      <c r="B49" s="8">
        <v>0</v>
      </c>
      <c r="C49" s="8">
        <v>0</v>
      </c>
      <c r="D49" s="8">
        <v>0</v>
      </c>
      <c r="E49" s="46">
        <v>0</v>
      </c>
      <c r="F49" s="8">
        <v>0</v>
      </c>
      <c r="G49" s="8">
        <v>0</v>
      </c>
      <c r="H49" s="8">
        <v>0</v>
      </c>
      <c r="I49" s="47">
        <v>0</v>
      </c>
      <c r="J49" s="13">
        <f t="shared" si="0"/>
        <v>0</v>
      </c>
      <c r="K49" s="13">
        <f t="shared" si="1"/>
        <v>0</v>
      </c>
      <c r="L49" s="13">
        <f t="shared" si="2"/>
        <v>0</v>
      </c>
      <c r="M49" s="13">
        <f t="shared" si="3"/>
        <v>0</v>
      </c>
      <c r="N49" s="13">
        <f t="shared" si="4"/>
        <v>0</v>
      </c>
      <c r="O49" s="13">
        <f t="shared" si="5"/>
        <v>0</v>
      </c>
      <c r="P49" s="11">
        <f t="shared" si="7"/>
        <v>0</v>
      </c>
      <c r="Q49" s="11">
        <f t="shared" si="9"/>
        <v>0</v>
      </c>
      <c r="R49" s="11">
        <f t="shared" si="10"/>
        <v>0</v>
      </c>
      <c r="S49" s="11">
        <f t="shared" si="11"/>
        <v>0</v>
      </c>
      <c r="T49" s="11">
        <f t="shared" si="6"/>
        <v>0</v>
      </c>
      <c r="V49" s="19">
        <f t="shared" si="8"/>
        <v>0</v>
      </c>
      <c r="W49" s="23">
        <v>0</v>
      </c>
      <c r="X49" s="36"/>
      <c r="Y49" s="33"/>
      <c r="Z49" s="11">
        <v>0</v>
      </c>
    </row>
    <row r="50" spans="1:31" ht="39" customHeight="1" thickTop="1" thickBot="1" x14ac:dyDescent="0.3">
      <c r="A50" s="4" t="s">
        <v>12</v>
      </c>
      <c r="B50" s="41">
        <f>SUM(B2:B49)</f>
        <v>119</v>
      </c>
      <c r="C50" s="41">
        <f t="shared" ref="C50:Z50" si="12">SUM(C2:C49)</f>
        <v>0</v>
      </c>
      <c r="D50" s="41">
        <f t="shared" si="12"/>
        <v>11</v>
      </c>
      <c r="E50" s="4">
        <f t="shared" si="12"/>
        <v>0</v>
      </c>
      <c r="F50" s="4">
        <f t="shared" si="12"/>
        <v>55</v>
      </c>
      <c r="G50" s="4">
        <f t="shared" si="12"/>
        <v>55</v>
      </c>
      <c r="H50" s="4">
        <f t="shared" si="12"/>
        <v>0</v>
      </c>
      <c r="I50" s="4">
        <f t="shared" si="12"/>
        <v>21.5</v>
      </c>
      <c r="J50" s="25">
        <f t="shared" si="12"/>
        <v>3900</v>
      </c>
      <c r="K50" s="25">
        <f t="shared" si="12"/>
        <v>1320</v>
      </c>
      <c r="L50" s="25">
        <f t="shared" si="12"/>
        <v>1485</v>
      </c>
      <c r="M50" s="25">
        <f t="shared" si="12"/>
        <v>0</v>
      </c>
      <c r="N50" s="25">
        <f t="shared" si="12"/>
        <v>967.5</v>
      </c>
      <c r="O50" s="25">
        <f t="shared" si="12"/>
        <v>0</v>
      </c>
      <c r="P50" s="25">
        <f t="shared" si="12"/>
        <v>416</v>
      </c>
      <c r="Q50" s="25">
        <f t="shared" si="12"/>
        <v>0</v>
      </c>
      <c r="R50" s="25">
        <f t="shared" si="12"/>
        <v>1487.5</v>
      </c>
      <c r="S50" s="25">
        <f t="shared" si="12"/>
        <v>16.5</v>
      </c>
      <c r="T50" s="25">
        <f t="shared" si="12"/>
        <v>1430</v>
      </c>
      <c r="U50" s="25">
        <f t="shared" si="12"/>
        <v>0</v>
      </c>
      <c r="V50" s="25">
        <f t="shared" si="12"/>
        <v>11022.5</v>
      </c>
      <c r="W50" s="25">
        <f t="shared" si="12"/>
        <v>0</v>
      </c>
      <c r="X50" s="37"/>
      <c r="Y50" s="38"/>
      <c r="Z50" s="25">
        <f t="shared" si="12"/>
        <v>0</v>
      </c>
    </row>
    <row r="51" spans="1:31" ht="15.75" thickTop="1" x14ac:dyDescent="0.25"/>
    <row r="52" spans="1:31" s="39" customFormat="1" ht="81" customHeight="1" x14ac:dyDescent="0.25">
      <c r="A52" s="2" t="s">
        <v>13</v>
      </c>
      <c r="B52" s="1" t="s">
        <v>3</v>
      </c>
      <c r="C52" s="1" t="s">
        <v>2</v>
      </c>
      <c r="D52" s="1" t="s">
        <v>4</v>
      </c>
      <c r="E52" s="1" t="s">
        <v>5</v>
      </c>
      <c r="F52" s="1" t="s">
        <v>41</v>
      </c>
      <c r="G52" s="2" t="s">
        <v>6</v>
      </c>
      <c r="H52" s="2" t="s">
        <v>7</v>
      </c>
      <c r="I52" s="1" t="s">
        <v>43</v>
      </c>
      <c r="J52" s="2" t="s">
        <v>14</v>
      </c>
      <c r="K52" s="2" t="s">
        <v>45</v>
      </c>
      <c r="L52" s="48" t="s">
        <v>18</v>
      </c>
      <c r="M52" s="2" t="s">
        <v>47</v>
      </c>
      <c r="N52" s="1" t="s">
        <v>54</v>
      </c>
      <c r="O52" s="5" t="s">
        <v>33</v>
      </c>
      <c r="P52" s="5" t="s">
        <v>34</v>
      </c>
      <c r="Q52" s="5" t="s">
        <v>35</v>
      </c>
      <c r="R52" s="5" t="s">
        <v>36</v>
      </c>
      <c r="S52" s="5" t="s">
        <v>37</v>
      </c>
      <c r="T52" s="5" t="s">
        <v>38</v>
      </c>
      <c r="U52" s="5" t="s">
        <v>42</v>
      </c>
      <c r="V52" s="5" t="s">
        <v>39</v>
      </c>
      <c r="W52" s="5" t="s">
        <v>40</v>
      </c>
      <c r="X52" s="3" t="s">
        <v>44</v>
      </c>
      <c r="Y52" s="5" t="s">
        <v>46</v>
      </c>
      <c r="Z52" s="5" t="s">
        <v>48</v>
      </c>
      <c r="AA52" s="5" t="s">
        <v>49</v>
      </c>
      <c r="AB52" s="5" t="s">
        <v>50</v>
      </c>
      <c r="AC52" s="5" t="s">
        <v>55</v>
      </c>
      <c r="AD52" s="40" t="s">
        <v>51</v>
      </c>
      <c r="AE52" s="43" t="s">
        <v>52</v>
      </c>
    </row>
    <row r="53" spans="1:31" s="28" customFormat="1" x14ac:dyDescent="0.25">
      <c r="A53" s="24" t="s">
        <v>57</v>
      </c>
      <c r="B53" s="6">
        <v>0</v>
      </c>
      <c r="C53" s="6">
        <v>14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9">
        <v>0</v>
      </c>
      <c r="J53" s="6">
        <v>0</v>
      </c>
      <c r="K53" s="6"/>
      <c r="L53" s="46">
        <v>0</v>
      </c>
      <c r="M53" s="6">
        <v>0</v>
      </c>
      <c r="N53" s="6"/>
      <c r="O53" s="9">
        <f t="shared" ref="O53:O82" si="13">(B53+C53)*30</f>
        <v>420</v>
      </c>
      <c r="P53" s="9">
        <f t="shared" ref="P53:P82" si="14">(D53+E53)*38</f>
        <v>0</v>
      </c>
      <c r="Q53" s="9">
        <f t="shared" ref="Q53:Q82" si="15">G53*55</f>
        <v>0</v>
      </c>
      <c r="R53" s="9">
        <f t="shared" ref="R53:R82" si="16">H53*65</f>
        <v>0</v>
      </c>
      <c r="S53" s="9">
        <f>(H53*1.4)*90</f>
        <v>0</v>
      </c>
      <c r="T53" s="9">
        <f t="shared" ref="T53:T82" si="17">J53*27</f>
        <v>0</v>
      </c>
      <c r="U53" s="9">
        <f t="shared" ref="U53:U82" si="18">F53*I53</f>
        <v>0</v>
      </c>
      <c r="V53" s="9">
        <f>B53*40</f>
        <v>0</v>
      </c>
      <c r="W53" s="9">
        <f>E53*52</f>
        <v>0</v>
      </c>
      <c r="X53" s="9">
        <f>K53*3</f>
        <v>0</v>
      </c>
      <c r="Y53" s="9">
        <f>((E53+D53)*7)+((D53+E53)*3)</f>
        <v>0</v>
      </c>
      <c r="Z53" s="9">
        <f>L53*40</f>
        <v>0</v>
      </c>
      <c r="AA53" s="9">
        <f>M53*45</f>
        <v>0</v>
      </c>
      <c r="AB53" s="9">
        <f>((B53+C53)*0.08)*40</f>
        <v>44.800000000000004</v>
      </c>
      <c r="AC53" s="9">
        <f>N53*(SUM(B53:E53))</f>
        <v>0</v>
      </c>
      <c r="AD53" s="18">
        <f t="shared" ref="AD53:AD82" si="19">SUM(O53:AB53)</f>
        <v>464.8</v>
      </c>
      <c r="AE53" s="9">
        <v>0</v>
      </c>
    </row>
    <row r="54" spans="1:31" s="29" customFormat="1" x14ac:dyDescent="0.25">
      <c r="A54" s="26" t="s">
        <v>60</v>
      </c>
      <c r="B54" s="7">
        <v>0</v>
      </c>
      <c r="C54" s="7">
        <v>0</v>
      </c>
      <c r="D54" s="7">
        <v>4</v>
      </c>
      <c r="E54" s="7">
        <v>0</v>
      </c>
      <c r="F54" s="7">
        <v>0</v>
      </c>
      <c r="G54" s="7">
        <v>0</v>
      </c>
      <c r="H54" s="7">
        <v>0</v>
      </c>
      <c r="I54" s="12">
        <v>0</v>
      </c>
      <c r="J54" s="7">
        <v>0</v>
      </c>
      <c r="K54" s="7"/>
      <c r="L54" s="46">
        <v>0</v>
      </c>
      <c r="M54" s="6"/>
      <c r="N54" s="7"/>
      <c r="O54" s="12">
        <f t="shared" si="13"/>
        <v>0</v>
      </c>
      <c r="P54" s="12">
        <f t="shared" si="14"/>
        <v>152</v>
      </c>
      <c r="Q54" s="12">
        <f t="shared" si="15"/>
        <v>0</v>
      </c>
      <c r="R54" s="12">
        <f t="shared" si="16"/>
        <v>0</v>
      </c>
      <c r="S54" s="12">
        <f>(H54*1.4)*90</f>
        <v>0</v>
      </c>
      <c r="T54" s="12">
        <f t="shared" si="17"/>
        <v>0</v>
      </c>
      <c r="U54" s="12">
        <f t="shared" si="18"/>
        <v>0</v>
      </c>
      <c r="V54" s="12">
        <f>B54*40</f>
        <v>0</v>
      </c>
      <c r="W54" s="12">
        <f>E54*52</f>
        <v>0</v>
      </c>
      <c r="X54" s="10">
        <f>K54*3</f>
        <v>0</v>
      </c>
      <c r="Y54" s="10">
        <f>((E54+D54)*7)+((D54+E54)*3)</f>
        <v>40</v>
      </c>
      <c r="Z54" s="10">
        <f>L54*40</f>
        <v>0</v>
      </c>
      <c r="AA54" s="10">
        <f>M54*45</f>
        <v>0</v>
      </c>
      <c r="AB54" s="10">
        <f>((B54+C54)*0.08)*40</f>
        <v>0</v>
      </c>
      <c r="AC54" s="10">
        <f t="shared" ref="AC54:AC82" si="20">N54*(SUM(B54:E54))</f>
        <v>0</v>
      </c>
      <c r="AD54" s="12">
        <f t="shared" si="19"/>
        <v>192</v>
      </c>
      <c r="AE54" s="10">
        <v>0</v>
      </c>
    </row>
    <row r="55" spans="1:31" x14ac:dyDescent="0.25">
      <c r="A55" s="8"/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11">
        <v>0</v>
      </c>
      <c r="J55" s="8">
        <v>0</v>
      </c>
      <c r="K55" s="8"/>
      <c r="L55" s="46">
        <v>0</v>
      </c>
      <c r="M55" s="6">
        <v>0</v>
      </c>
      <c r="N55" s="8"/>
      <c r="O55" s="11">
        <f t="shared" si="13"/>
        <v>0</v>
      </c>
      <c r="P55" s="11">
        <f t="shared" si="14"/>
        <v>0</v>
      </c>
      <c r="Q55" s="11">
        <f t="shared" si="15"/>
        <v>0</v>
      </c>
      <c r="R55" s="11">
        <f t="shared" si="16"/>
        <v>0</v>
      </c>
      <c r="S55" s="11">
        <f>(H55*1.4)*90</f>
        <v>0</v>
      </c>
      <c r="T55" s="11">
        <f t="shared" si="17"/>
        <v>0</v>
      </c>
      <c r="U55" s="11">
        <f t="shared" si="18"/>
        <v>0</v>
      </c>
      <c r="V55" s="11">
        <f>B55*40</f>
        <v>0</v>
      </c>
      <c r="W55" s="11">
        <f>E55*52</f>
        <v>0</v>
      </c>
      <c r="X55" s="11">
        <f>K55*3</f>
        <v>0</v>
      </c>
      <c r="Y55" s="11">
        <f>((E55+D55)*7)+((D55+E55)*3)</f>
        <v>0</v>
      </c>
      <c r="Z55" s="11">
        <f>L55*40</f>
        <v>0</v>
      </c>
      <c r="AA55" s="11">
        <f>M55*45</f>
        <v>0</v>
      </c>
      <c r="AB55" s="11">
        <f>((B55+C55)*0.08)*40</f>
        <v>0</v>
      </c>
      <c r="AC55" s="11">
        <f t="shared" si="20"/>
        <v>0</v>
      </c>
      <c r="AD55" s="11">
        <f t="shared" si="19"/>
        <v>0</v>
      </c>
      <c r="AE55" s="11">
        <v>0</v>
      </c>
    </row>
    <row r="56" spans="1:31" x14ac:dyDescent="0.25">
      <c r="A56" s="24"/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9">
        <v>0</v>
      </c>
      <c r="J56" s="6">
        <v>20</v>
      </c>
      <c r="K56" s="6"/>
      <c r="L56" s="46">
        <v>0</v>
      </c>
      <c r="M56" s="6"/>
      <c r="N56" s="6"/>
      <c r="O56" s="9">
        <f t="shared" si="13"/>
        <v>0</v>
      </c>
      <c r="P56" s="9">
        <f t="shared" si="14"/>
        <v>0</v>
      </c>
      <c r="Q56" s="9">
        <f t="shared" si="15"/>
        <v>0</v>
      </c>
      <c r="R56" s="9">
        <f t="shared" si="16"/>
        <v>0</v>
      </c>
      <c r="S56" s="9">
        <f t="shared" ref="S56:S82" si="21">(H56*1.4)*90</f>
        <v>0</v>
      </c>
      <c r="T56" s="9">
        <f t="shared" si="17"/>
        <v>540</v>
      </c>
      <c r="U56" s="9">
        <f t="shared" si="18"/>
        <v>0</v>
      </c>
      <c r="V56" s="9">
        <f t="shared" ref="V56:V82" si="22">B56*40</f>
        <v>0</v>
      </c>
      <c r="W56" s="9">
        <f t="shared" ref="W56:W82" si="23">E56*52</f>
        <v>0</v>
      </c>
      <c r="X56" s="9">
        <f>K56*3</f>
        <v>0</v>
      </c>
      <c r="Y56" s="9">
        <f>((E56+D56)*7)+((D56+E56)*3)</f>
        <v>0</v>
      </c>
      <c r="Z56" s="9">
        <f>L56*40</f>
        <v>0</v>
      </c>
      <c r="AA56" s="9">
        <f>M56*45</f>
        <v>0</v>
      </c>
      <c r="AB56" s="9">
        <f>((B56+C56)*0.08)*40</f>
        <v>0</v>
      </c>
      <c r="AC56" s="9">
        <f t="shared" si="20"/>
        <v>0</v>
      </c>
      <c r="AD56" s="18">
        <f t="shared" si="19"/>
        <v>540</v>
      </c>
      <c r="AE56" s="9">
        <v>0</v>
      </c>
    </row>
    <row r="57" spans="1:31" x14ac:dyDescent="0.25">
      <c r="A57" s="7"/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12">
        <v>0</v>
      </c>
      <c r="J57" s="7">
        <v>0</v>
      </c>
      <c r="K57" s="7"/>
      <c r="L57" s="46">
        <v>0</v>
      </c>
      <c r="M57" s="6"/>
      <c r="N57" s="7">
        <v>0</v>
      </c>
      <c r="O57" s="12">
        <f t="shared" si="13"/>
        <v>0</v>
      </c>
      <c r="P57" s="12">
        <f t="shared" si="14"/>
        <v>0</v>
      </c>
      <c r="Q57" s="12">
        <f t="shared" si="15"/>
        <v>0</v>
      </c>
      <c r="R57" s="12">
        <f t="shared" si="16"/>
        <v>0</v>
      </c>
      <c r="S57" s="12">
        <f t="shared" si="21"/>
        <v>0</v>
      </c>
      <c r="T57" s="12">
        <f t="shared" si="17"/>
        <v>0</v>
      </c>
      <c r="U57" s="12">
        <f>F57*I57</f>
        <v>0</v>
      </c>
      <c r="V57" s="12">
        <f t="shared" si="22"/>
        <v>0</v>
      </c>
      <c r="W57" s="12">
        <f t="shared" si="23"/>
        <v>0</v>
      </c>
      <c r="X57" s="10">
        <f t="shared" ref="X57:X82" si="24">K57*3</f>
        <v>0</v>
      </c>
      <c r="Y57" s="10">
        <f t="shared" ref="Y57:Y82" si="25">((E57+D57)*7)+((D57+E57)*3)</f>
        <v>0</v>
      </c>
      <c r="Z57" s="10">
        <f t="shared" ref="Z57:Z82" si="26">L57*40</f>
        <v>0</v>
      </c>
      <c r="AA57" s="10">
        <f t="shared" ref="AA57:AA82" si="27">M57*45</f>
        <v>0</v>
      </c>
      <c r="AB57" s="10">
        <f t="shared" ref="AB57:AB82" si="28">((B57+C57)*0.08)*40</f>
        <v>0</v>
      </c>
      <c r="AC57" s="10">
        <f t="shared" si="20"/>
        <v>0</v>
      </c>
      <c r="AD57" s="12">
        <f t="shared" si="19"/>
        <v>0</v>
      </c>
      <c r="AE57" s="10">
        <v>0</v>
      </c>
    </row>
    <row r="58" spans="1:31" x14ac:dyDescent="0.25">
      <c r="A58" s="8"/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11">
        <v>0</v>
      </c>
      <c r="J58" s="8">
        <v>0</v>
      </c>
      <c r="K58" s="8"/>
      <c r="L58" s="46">
        <v>0</v>
      </c>
      <c r="M58" s="6">
        <v>0</v>
      </c>
      <c r="N58" s="8"/>
      <c r="O58" s="11">
        <f t="shared" si="13"/>
        <v>0</v>
      </c>
      <c r="P58" s="11">
        <f t="shared" si="14"/>
        <v>0</v>
      </c>
      <c r="Q58" s="11">
        <f t="shared" si="15"/>
        <v>0</v>
      </c>
      <c r="R58" s="11">
        <f t="shared" si="16"/>
        <v>0</v>
      </c>
      <c r="S58" s="11">
        <f t="shared" si="21"/>
        <v>0</v>
      </c>
      <c r="T58" s="11">
        <f t="shared" si="17"/>
        <v>0</v>
      </c>
      <c r="U58" s="11">
        <f t="shared" si="18"/>
        <v>0</v>
      </c>
      <c r="V58" s="11">
        <f t="shared" si="22"/>
        <v>0</v>
      </c>
      <c r="W58" s="11">
        <f t="shared" si="23"/>
        <v>0</v>
      </c>
      <c r="X58" s="11">
        <f t="shared" si="24"/>
        <v>0</v>
      </c>
      <c r="Y58" s="11">
        <f t="shared" si="25"/>
        <v>0</v>
      </c>
      <c r="Z58" s="11">
        <f t="shared" si="26"/>
        <v>0</v>
      </c>
      <c r="AA58" s="11">
        <f t="shared" si="27"/>
        <v>0</v>
      </c>
      <c r="AB58" s="11">
        <f t="shared" si="28"/>
        <v>0</v>
      </c>
      <c r="AC58" s="11">
        <f t="shared" si="20"/>
        <v>0</v>
      </c>
      <c r="AD58" s="11">
        <f t="shared" si="19"/>
        <v>0</v>
      </c>
      <c r="AE58" s="11">
        <v>0</v>
      </c>
    </row>
    <row r="59" spans="1:31" x14ac:dyDescent="0.25">
      <c r="A59" s="6"/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9">
        <v>0</v>
      </c>
      <c r="J59" s="6">
        <v>0</v>
      </c>
      <c r="K59" s="6"/>
      <c r="L59" s="46"/>
      <c r="M59" s="6"/>
      <c r="N59" s="6"/>
      <c r="O59" s="9">
        <f t="shared" si="13"/>
        <v>0</v>
      </c>
      <c r="P59" s="9">
        <f t="shared" si="14"/>
        <v>0</v>
      </c>
      <c r="Q59" s="9">
        <f t="shared" si="15"/>
        <v>0</v>
      </c>
      <c r="R59" s="9">
        <f t="shared" si="16"/>
        <v>0</v>
      </c>
      <c r="S59" s="9">
        <f t="shared" si="21"/>
        <v>0</v>
      </c>
      <c r="T59" s="9">
        <f t="shared" si="17"/>
        <v>0</v>
      </c>
      <c r="U59" s="9">
        <f t="shared" si="18"/>
        <v>0</v>
      </c>
      <c r="V59" s="9">
        <f t="shared" si="22"/>
        <v>0</v>
      </c>
      <c r="W59" s="9">
        <f t="shared" si="23"/>
        <v>0</v>
      </c>
      <c r="X59" s="9">
        <f t="shared" si="24"/>
        <v>0</v>
      </c>
      <c r="Y59" s="9">
        <f t="shared" si="25"/>
        <v>0</v>
      </c>
      <c r="Z59" s="9">
        <f t="shared" si="26"/>
        <v>0</v>
      </c>
      <c r="AA59" s="9">
        <f t="shared" si="27"/>
        <v>0</v>
      </c>
      <c r="AB59" s="9">
        <f t="shared" si="28"/>
        <v>0</v>
      </c>
      <c r="AC59" s="9">
        <f t="shared" si="20"/>
        <v>0</v>
      </c>
      <c r="AD59" s="18">
        <f t="shared" si="19"/>
        <v>0</v>
      </c>
      <c r="AE59" s="9">
        <v>0</v>
      </c>
    </row>
    <row r="60" spans="1:31" x14ac:dyDescent="0.25">
      <c r="A60" s="7"/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12">
        <v>0</v>
      </c>
      <c r="J60" s="7">
        <v>0</v>
      </c>
      <c r="K60" s="7"/>
      <c r="L60" s="46"/>
      <c r="M60" s="6"/>
      <c r="N60" s="7"/>
      <c r="O60" s="12">
        <f t="shared" si="13"/>
        <v>0</v>
      </c>
      <c r="P60" s="12">
        <f t="shared" si="14"/>
        <v>0</v>
      </c>
      <c r="Q60" s="12">
        <f t="shared" si="15"/>
        <v>0</v>
      </c>
      <c r="R60" s="12">
        <f t="shared" si="16"/>
        <v>0</v>
      </c>
      <c r="S60" s="12">
        <f t="shared" si="21"/>
        <v>0</v>
      </c>
      <c r="T60" s="12">
        <f t="shared" si="17"/>
        <v>0</v>
      </c>
      <c r="U60" s="12">
        <f t="shared" si="18"/>
        <v>0</v>
      </c>
      <c r="V60" s="12">
        <f t="shared" si="22"/>
        <v>0</v>
      </c>
      <c r="W60" s="12">
        <f t="shared" si="23"/>
        <v>0</v>
      </c>
      <c r="X60" s="10">
        <f t="shared" si="24"/>
        <v>0</v>
      </c>
      <c r="Y60" s="10">
        <f t="shared" si="25"/>
        <v>0</v>
      </c>
      <c r="Z60" s="10">
        <f t="shared" si="26"/>
        <v>0</v>
      </c>
      <c r="AA60" s="10">
        <f t="shared" si="27"/>
        <v>0</v>
      </c>
      <c r="AB60" s="10">
        <f t="shared" si="28"/>
        <v>0</v>
      </c>
      <c r="AC60" s="10">
        <f t="shared" si="20"/>
        <v>0</v>
      </c>
      <c r="AD60" s="12">
        <f t="shared" si="19"/>
        <v>0</v>
      </c>
      <c r="AE60" s="10"/>
    </row>
    <row r="61" spans="1:31" x14ac:dyDescent="0.25">
      <c r="A61" s="8"/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11">
        <v>0</v>
      </c>
      <c r="J61" s="8">
        <v>0</v>
      </c>
      <c r="K61" s="8"/>
      <c r="L61" s="46"/>
      <c r="M61" s="6"/>
      <c r="N61" s="8"/>
      <c r="O61" s="11">
        <f t="shared" si="13"/>
        <v>0</v>
      </c>
      <c r="P61" s="11">
        <f t="shared" si="14"/>
        <v>0</v>
      </c>
      <c r="Q61" s="11">
        <f t="shared" si="15"/>
        <v>0</v>
      </c>
      <c r="R61" s="11">
        <f t="shared" si="16"/>
        <v>0</v>
      </c>
      <c r="S61" s="11">
        <f t="shared" si="21"/>
        <v>0</v>
      </c>
      <c r="T61" s="11">
        <f t="shared" si="17"/>
        <v>0</v>
      </c>
      <c r="U61" s="11">
        <f t="shared" si="18"/>
        <v>0</v>
      </c>
      <c r="V61" s="11">
        <f t="shared" si="22"/>
        <v>0</v>
      </c>
      <c r="W61" s="11">
        <f t="shared" si="23"/>
        <v>0</v>
      </c>
      <c r="X61" s="11">
        <f t="shared" si="24"/>
        <v>0</v>
      </c>
      <c r="Y61" s="11">
        <f t="shared" si="25"/>
        <v>0</v>
      </c>
      <c r="Z61" s="11">
        <f t="shared" si="26"/>
        <v>0</v>
      </c>
      <c r="AA61" s="11">
        <f t="shared" si="27"/>
        <v>0</v>
      </c>
      <c r="AB61" s="11">
        <f t="shared" si="28"/>
        <v>0</v>
      </c>
      <c r="AC61" s="11">
        <f t="shared" si="20"/>
        <v>0</v>
      </c>
      <c r="AD61" s="11">
        <f t="shared" si="19"/>
        <v>0</v>
      </c>
      <c r="AE61" s="11"/>
    </row>
    <row r="62" spans="1:31" x14ac:dyDescent="0.25">
      <c r="A62" s="6"/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9">
        <v>0</v>
      </c>
      <c r="J62" s="6">
        <v>0</v>
      </c>
      <c r="K62" s="6"/>
      <c r="L62" s="46"/>
      <c r="M62" s="6"/>
      <c r="N62" s="6"/>
      <c r="O62" s="9">
        <f t="shared" si="13"/>
        <v>0</v>
      </c>
      <c r="P62" s="9">
        <f t="shared" si="14"/>
        <v>0</v>
      </c>
      <c r="Q62" s="9">
        <f t="shared" si="15"/>
        <v>0</v>
      </c>
      <c r="R62" s="9">
        <f t="shared" si="16"/>
        <v>0</v>
      </c>
      <c r="S62" s="9">
        <f t="shared" si="21"/>
        <v>0</v>
      </c>
      <c r="T62" s="9">
        <f t="shared" si="17"/>
        <v>0</v>
      </c>
      <c r="U62" s="9">
        <f t="shared" si="18"/>
        <v>0</v>
      </c>
      <c r="V62" s="9">
        <f t="shared" si="22"/>
        <v>0</v>
      </c>
      <c r="W62" s="9">
        <f t="shared" si="23"/>
        <v>0</v>
      </c>
      <c r="X62" s="9">
        <f t="shared" si="24"/>
        <v>0</v>
      </c>
      <c r="Y62" s="9">
        <f t="shared" si="25"/>
        <v>0</v>
      </c>
      <c r="Z62" s="9">
        <f t="shared" si="26"/>
        <v>0</v>
      </c>
      <c r="AA62" s="9">
        <f t="shared" si="27"/>
        <v>0</v>
      </c>
      <c r="AB62" s="9">
        <f t="shared" si="28"/>
        <v>0</v>
      </c>
      <c r="AC62" s="9">
        <f t="shared" si="20"/>
        <v>0</v>
      </c>
      <c r="AD62" s="18">
        <f t="shared" si="19"/>
        <v>0</v>
      </c>
      <c r="AE62" s="9"/>
    </row>
    <row r="63" spans="1:31" x14ac:dyDescent="0.25">
      <c r="A63" s="7"/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12">
        <v>0</v>
      </c>
      <c r="J63" s="7">
        <v>0</v>
      </c>
      <c r="K63" s="7"/>
      <c r="L63" s="46"/>
      <c r="M63" s="6"/>
      <c r="N63" s="7"/>
      <c r="O63" s="12">
        <f t="shared" si="13"/>
        <v>0</v>
      </c>
      <c r="P63" s="12">
        <f t="shared" si="14"/>
        <v>0</v>
      </c>
      <c r="Q63" s="12">
        <f t="shared" si="15"/>
        <v>0</v>
      </c>
      <c r="R63" s="12">
        <f t="shared" si="16"/>
        <v>0</v>
      </c>
      <c r="S63" s="12">
        <f t="shared" si="21"/>
        <v>0</v>
      </c>
      <c r="T63" s="12">
        <f t="shared" si="17"/>
        <v>0</v>
      </c>
      <c r="U63" s="12">
        <f t="shared" si="18"/>
        <v>0</v>
      </c>
      <c r="V63" s="12">
        <f t="shared" si="22"/>
        <v>0</v>
      </c>
      <c r="W63" s="12">
        <f t="shared" si="23"/>
        <v>0</v>
      </c>
      <c r="X63" s="10">
        <f t="shared" si="24"/>
        <v>0</v>
      </c>
      <c r="Y63" s="10">
        <f t="shared" si="25"/>
        <v>0</v>
      </c>
      <c r="Z63" s="10">
        <f t="shared" si="26"/>
        <v>0</v>
      </c>
      <c r="AA63" s="10">
        <f t="shared" si="27"/>
        <v>0</v>
      </c>
      <c r="AB63" s="10">
        <f t="shared" si="28"/>
        <v>0</v>
      </c>
      <c r="AC63" s="10">
        <f t="shared" si="20"/>
        <v>0</v>
      </c>
      <c r="AD63" s="12">
        <f t="shared" si="19"/>
        <v>0</v>
      </c>
      <c r="AE63" s="10"/>
    </row>
    <row r="64" spans="1:31" x14ac:dyDescent="0.25">
      <c r="A64" s="8"/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11">
        <v>0</v>
      </c>
      <c r="J64" s="8">
        <v>0</v>
      </c>
      <c r="K64" s="8"/>
      <c r="L64" s="46"/>
      <c r="M64" s="6"/>
      <c r="N64" s="8"/>
      <c r="O64" s="11">
        <f t="shared" si="13"/>
        <v>0</v>
      </c>
      <c r="P64" s="11">
        <f t="shared" si="14"/>
        <v>0</v>
      </c>
      <c r="Q64" s="11">
        <f t="shared" si="15"/>
        <v>0</v>
      </c>
      <c r="R64" s="11">
        <f t="shared" si="16"/>
        <v>0</v>
      </c>
      <c r="S64" s="11">
        <f t="shared" si="21"/>
        <v>0</v>
      </c>
      <c r="T64" s="11">
        <f t="shared" si="17"/>
        <v>0</v>
      </c>
      <c r="U64" s="11">
        <f t="shared" si="18"/>
        <v>0</v>
      </c>
      <c r="V64" s="11">
        <f t="shared" si="22"/>
        <v>0</v>
      </c>
      <c r="W64" s="11">
        <f t="shared" si="23"/>
        <v>0</v>
      </c>
      <c r="X64" s="11">
        <f t="shared" si="24"/>
        <v>0</v>
      </c>
      <c r="Y64" s="11">
        <f t="shared" si="25"/>
        <v>0</v>
      </c>
      <c r="Z64" s="11">
        <f t="shared" si="26"/>
        <v>0</v>
      </c>
      <c r="AA64" s="11">
        <f t="shared" si="27"/>
        <v>0</v>
      </c>
      <c r="AB64" s="11">
        <f t="shared" si="28"/>
        <v>0</v>
      </c>
      <c r="AC64" s="11">
        <f t="shared" si="20"/>
        <v>0</v>
      </c>
      <c r="AD64" s="11">
        <f t="shared" si="19"/>
        <v>0</v>
      </c>
      <c r="AE64" s="11"/>
    </row>
    <row r="65" spans="1:31" x14ac:dyDescent="0.25">
      <c r="A65" s="6"/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9">
        <v>0</v>
      </c>
      <c r="J65" s="6">
        <v>0</v>
      </c>
      <c r="K65" s="6"/>
      <c r="L65" s="46"/>
      <c r="M65" s="6"/>
      <c r="N65" s="6"/>
      <c r="O65" s="9">
        <f t="shared" si="13"/>
        <v>0</v>
      </c>
      <c r="P65" s="9">
        <f t="shared" si="14"/>
        <v>0</v>
      </c>
      <c r="Q65" s="9">
        <f t="shared" si="15"/>
        <v>0</v>
      </c>
      <c r="R65" s="9">
        <f t="shared" si="16"/>
        <v>0</v>
      </c>
      <c r="S65" s="9">
        <f t="shared" si="21"/>
        <v>0</v>
      </c>
      <c r="T65" s="9">
        <f t="shared" si="17"/>
        <v>0</v>
      </c>
      <c r="U65" s="9">
        <f t="shared" si="18"/>
        <v>0</v>
      </c>
      <c r="V65" s="9">
        <f t="shared" si="22"/>
        <v>0</v>
      </c>
      <c r="W65" s="9">
        <f t="shared" si="23"/>
        <v>0</v>
      </c>
      <c r="X65" s="9">
        <f t="shared" si="24"/>
        <v>0</v>
      </c>
      <c r="Y65" s="9">
        <f t="shared" si="25"/>
        <v>0</v>
      </c>
      <c r="Z65" s="9">
        <f t="shared" si="26"/>
        <v>0</v>
      </c>
      <c r="AA65" s="9">
        <f t="shared" si="27"/>
        <v>0</v>
      </c>
      <c r="AB65" s="9">
        <f t="shared" si="28"/>
        <v>0</v>
      </c>
      <c r="AC65" s="9">
        <f t="shared" si="20"/>
        <v>0</v>
      </c>
      <c r="AD65" s="18">
        <f t="shared" si="19"/>
        <v>0</v>
      </c>
      <c r="AE65" s="9"/>
    </row>
    <row r="66" spans="1:31" x14ac:dyDescent="0.25">
      <c r="A66" s="7"/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12">
        <v>0</v>
      </c>
      <c r="J66" s="7">
        <v>0</v>
      </c>
      <c r="K66" s="7"/>
      <c r="L66" s="46"/>
      <c r="M66" s="6"/>
      <c r="N66" s="7"/>
      <c r="O66" s="12">
        <f t="shared" si="13"/>
        <v>0</v>
      </c>
      <c r="P66" s="12">
        <f t="shared" si="14"/>
        <v>0</v>
      </c>
      <c r="Q66" s="12">
        <f t="shared" si="15"/>
        <v>0</v>
      </c>
      <c r="R66" s="12">
        <f t="shared" si="16"/>
        <v>0</v>
      </c>
      <c r="S66" s="12">
        <f t="shared" si="21"/>
        <v>0</v>
      </c>
      <c r="T66" s="12">
        <f t="shared" si="17"/>
        <v>0</v>
      </c>
      <c r="U66" s="12">
        <f t="shared" si="18"/>
        <v>0</v>
      </c>
      <c r="V66" s="12">
        <f t="shared" si="22"/>
        <v>0</v>
      </c>
      <c r="W66" s="12">
        <f t="shared" si="23"/>
        <v>0</v>
      </c>
      <c r="X66" s="10">
        <f t="shared" si="24"/>
        <v>0</v>
      </c>
      <c r="Y66" s="10">
        <f t="shared" si="25"/>
        <v>0</v>
      </c>
      <c r="Z66" s="10">
        <f t="shared" si="26"/>
        <v>0</v>
      </c>
      <c r="AA66" s="10">
        <f t="shared" si="27"/>
        <v>0</v>
      </c>
      <c r="AB66" s="10">
        <f t="shared" si="28"/>
        <v>0</v>
      </c>
      <c r="AC66" s="10">
        <f t="shared" si="20"/>
        <v>0</v>
      </c>
      <c r="AD66" s="12">
        <f t="shared" si="19"/>
        <v>0</v>
      </c>
      <c r="AE66" s="10"/>
    </row>
    <row r="67" spans="1:31" x14ac:dyDescent="0.25">
      <c r="A67" s="8"/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11">
        <v>0</v>
      </c>
      <c r="J67" s="8">
        <v>0</v>
      </c>
      <c r="K67" s="8"/>
      <c r="L67" s="46"/>
      <c r="M67" s="6"/>
      <c r="N67" s="8"/>
      <c r="O67" s="11">
        <f t="shared" si="13"/>
        <v>0</v>
      </c>
      <c r="P67" s="11">
        <f t="shared" si="14"/>
        <v>0</v>
      </c>
      <c r="Q67" s="11">
        <f t="shared" si="15"/>
        <v>0</v>
      </c>
      <c r="R67" s="11">
        <f t="shared" si="16"/>
        <v>0</v>
      </c>
      <c r="S67" s="11">
        <f t="shared" si="21"/>
        <v>0</v>
      </c>
      <c r="T67" s="11">
        <f t="shared" si="17"/>
        <v>0</v>
      </c>
      <c r="U67" s="11">
        <f t="shared" si="18"/>
        <v>0</v>
      </c>
      <c r="V67" s="11">
        <f t="shared" si="22"/>
        <v>0</v>
      </c>
      <c r="W67" s="11">
        <f t="shared" si="23"/>
        <v>0</v>
      </c>
      <c r="X67" s="11">
        <f t="shared" si="24"/>
        <v>0</v>
      </c>
      <c r="Y67" s="11">
        <f t="shared" si="25"/>
        <v>0</v>
      </c>
      <c r="Z67" s="11">
        <f t="shared" si="26"/>
        <v>0</v>
      </c>
      <c r="AA67" s="11">
        <f t="shared" si="27"/>
        <v>0</v>
      </c>
      <c r="AB67" s="11">
        <f t="shared" si="28"/>
        <v>0</v>
      </c>
      <c r="AC67" s="11">
        <f t="shared" si="20"/>
        <v>0</v>
      </c>
      <c r="AD67" s="11">
        <f t="shared" si="19"/>
        <v>0</v>
      </c>
      <c r="AE67" s="11"/>
    </row>
    <row r="68" spans="1:31" x14ac:dyDescent="0.25">
      <c r="A68" s="6"/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9">
        <v>0</v>
      </c>
      <c r="J68" s="6">
        <v>0</v>
      </c>
      <c r="K68" s="6"/>
      <c r="L68" s="46"/>
      <c r="M68" s="6"/>
      <c r="N68" s="6"/>
      <c r="O68" s="9">
        <f t="shared" si="13"/>
        <v>0</v>
      </c>
      <c r="P68" s="9">
        <f t="shared" si="14"/>
        <v>0</v>
      </c>
      <c r="Q68" s="9">
        <f t="shared" si="15"/>
        <v>0</v>
      </c>
      <c r="R68" s="9">
        <f t="shared" si="16"/>
        <v>0</v>
      </c>
      <c r="S68" s="9">
        <f t="shared" si="21"/>
        <v>0</v>
      </c>
      <c r="T68" s="9">
        <f t="shared" si="17"/>
        <v>0</v>
      </c>
      <c r="U68" s="9">
        <f t="shared" si="18"/>
        <v>0</v>
      </c>
      <c r="V68" s="9">
        <f t="shared" si="22"/>
        <v>0</v>
      </c>
      <c r="W68" s="9">
        <f t="shared" si="23"/>
        <v>0</v>
      </c>
      <c r="X68" s="9">
        <f t="shared" si="24"/>
        <v>0</v>
      </c>
      <c r="Y68" s="9">
        <f t="shared" si="25"/>
        <v>0</v>
      </c>
      <c r="Z68" s="9">
        <f t="shared" si="26"/>
        <v>0</v>
      </c>
      <c r="AA68" s="9">
        <f t="shared" si="27"/>
        <v>0</v>
      </c>
      <c r="AB68" s="9">
        <f t="shared" si="28"/>
        <v>0</v>
      </c>
      <c r="AC68" s="9">
        <f t="shared" si="20"/>
        <v>0</v>
      </c>
      <c r="AD68" s="18">
        <f t="shared" si="19"/>
        <v>0</v>
      </c>
      <c r="AE68" s="9"/>
    </row>
    <row r="69" spans="1:31" x14ac:dyDescent="0.25">
      <c r="A69" s="7"/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12">
        <v>0</v>
      </c>
      <c r="J69" s="7">
        <v>0</v>
      </c>
      <c r="K69" s="7"/>
      <c r="L69" s="46"/>
      <c r="M69" s="6"/>
      <c r="N69" s="7"/>
      <c r="O69" s="12">
        <f t="shared" si="13"/>
        <v>0</v>
      </c>
      <c r="P69" s="12">
        <f t="shared" si="14"/>
        <v>0</v>
      </c>
      <c r="Q69" s="12">
        <f t="shared" si="15"/>
        <v>0</v>
      </c>
      <c r="R69" s="12">
        <f t="shared" si="16"/>
        <v>0</v>
      </c>
      <c r="S69" s="12">
        <f t="shared" si="21"/>
        <v>0</v>
      </c>
      <c r="T69" s="12">
        <f t="shared" si="17"/>
        <v>0</v>
      </c>
      <c r="U69" s="12">
        <f t="shared" si="18"/>
        <v>0</v>
      </c>
      <c r="V69" s="12">
        <f t="shared" si="22"/>
        <v>0</v>
      </c>
      <c r="W69" s="12">
        <f t="shared" si="23"/>
        <v>0</v>
      </c>
      <c r="X69" s="10">
        <f t="shared" si="24"/>
        <v>0</v>
      </c>
      <c r="Y69" s="10">
        <f t="shared" si="25"/>
        <v>0</v>
      </c>
      <c r="Z69" s="10">
        <f t="shared" si="26"/>
        <v>0</v>
      </c>
      <c r="AA69" s="10">
        <f t="shared" si="27"/>
        <v>0</v>
      </c>
      <c r="AB69" s="10">
        <f t="shared" si="28"/>
        <v>0</v>
      </c>
      <c r="AC69" s="10">
        <f t="shared" si="20"/>
        <v>0</v>
      </c>
      <c r="AD69" s="12">
        <f t="shared" si="19"/>
        <v>0</v>
      </c>
      <c r="AE69" s="10"/>
    </row>
    <row r="70" spans="1:31" x14ac:dyDescent="0.25">
      <c r="A70" s="8"/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11">
        <v>0</v>
      </c>
      <c r="J70" s="8">
        <v>0</v>
      </c>
      <c r="K70" s="8"/>
      <c r="L70" s="46"/>
      <c r="M70" s="6"/>
      <c r="N70" s="8"/>
      <c r="O70" s="11">
        <f t="shared" si="13"/>
        <v>0</v>
      </c>
      <c r="P70" s="11">
        <f t="shared" si="14"/>
        <v>0</v>
      </c>
      <c r="Q70" s="11">
        <f t="shared" si="15"/>
        <v>0</v>
      </c>
      <c r="R70" s="11">
        <f t="shared" si="16"/>
        <v>0</v>
      </c>
      <c r="S70" s="11">
        <f t="shared" si="21"/>
        <v>0</v>
      </c>
      <c r="T70" s="11">
        <f t="shared" si="17"/>
        <v>0</v>
      </c>
      <c r="U70" s="11">
        <f t="shared" si="18"/>
        <v>0</v>
      </c>
      <c r="V70" s="11">
        <f t="shared" si="22"/>
        <v>0</v>
      </c>
      <c r="W70" s="11">
        <f t="shared" si="23"/>
        <v>0</v>
      </c>
      <c r="X70" s="11">
        <f t="shared" si="24"/>
        <v>0</v>
      </c>
      <c r="Y70" s="11">
        <f t="shared" si="25"/>
        <v>0</v>
      </c>
      <c r="Z70" s="11">
        <f t="shared" si="26"/>
        <v>0</v>
      </c>
      <c r="AA70" s="11">
        <f t="shared" si="27"/>
        <v>0</v>
      </c>
      <c r="AB70" s="11">
        <f t="shared" si="28"/>
        <v>0</v>
      </c>
      <c r="AC70" s="11">
        <f t="shared" si="20"/>
        <v>0</v>
      </c>
      <c r="AD70" s="11">
        <f t="shared" si="19"/>
        <v>0</v>
      </c>
      <c r="AE70" s="11"/>
    </row>
    <row r="71" spans="1:31" x14ac:dyDescent="0.25">
      <c r="A71" s="6"/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9">
        <v>0</v>
      </c>
      <c r="J71" s="6">
        <v>0</v>
      </c>
      <c r="K71" s="6"/>
      <c r="L71" s="46"/>
      <c r="M71" s="6"/>
      <c r="N71" s="6"/>
      <c r="O71" s="9">
        <f t="shared" si="13"/>
        <v>0</v>
      </c>
      <c r="P71" s="9">
        <f t="shared" si="14"/>
        <v>0</v>
      </c>
      <c r="Q71" s="9">
        <f t="shared" si="15"/>
        <v>0</v>
      </c>
      <c r="R71" s="9">
        <f t="shared" si="16"/>
        <v>0</v>
      </c>
      <c r="S71" s="9">
        <f t="shared" si="21"/>
        <v>0</v>
      </c>
      <c r="T71" s="9">
        <f t="shared" si="17"/>
        <v>0</v>
      </c>
      <c r="U71" s="9">
        <f t="shared" si="18"/>
        <v>0</v>
      </c>
      <c r="V71" s="9">
        <f t="shared" si="22"/>
        <v>0</v>
      </c>
      <c r="W71" s="9">
        <f t="shared" si="23"/>
        <v>0</v>
      </c>
      <c r="X71" s="9">
        <f t="shared" si="24"/>
        <v>0</v>
      </c>
      <c r="Y71" s="9">
        <f t="shared" si="25"/>
        <v>0</v>
      </c>
      <c r="Z71" s="9">
        <f t="shared" si="26"/>
        <v>0</v>
      </c>
      <c r="AA71" s="9">
        <f t="shared" si="27"/>
        <v>0</v>
      </c>
      <c r="AB71" s="9">
        <f t="shared" si="28"/>
        <v>0</v>
      </c>
      <c r="AC71" s="9">
        <f t="shared" si="20"/>
        <v>0</v>
      </c>
      <c r="AD71" s="18">
        <f t="shared" si="19"/>
        <v>0</v>
      </c>
      <c r="AE71" s="9"/>
    </row>
    <row r="72" spans="1:31" x14ac:dyDescent="0.25">
      <c r="A72" s="7"/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12">
        <v>0</v>
      </c>
      <c r="J72" s="7">
        <v>0</v>
      </c>
      <c r="K72" s="7"/>
      <c r="L72" s="46"/>
      <c r="M72" s="6"/>
      <c r="N72" s="7"/>
      <c r="O72" s="12">
        <f t="shared" si="13"/>
        <v>0</v>
      </c>
      <c r="P72" s="12">
        <f t="shared" si="14"/>
        <v>0</v>
      </c>
      <c r="Q72" s="12">
        <f t="shared" si="15"/>
        <v>0</v>
      </c>
      <c r="R72" s="12">
        <f t="shared" si="16"/>
        <v>0</v>
      </c>
      <c r="S72" s="12">
        <f t="shared" si="21"/>
        <v>0</v>
      </c>
      <c r="T72" s="12">
        <f t="shared" si="17"/>
        <v>0</v>
      </c>
      <c r="U72" s="12">
        <f t="shared" si="18"/>
        <v>0</v>
      </c>
      <c r="V72" s="12">
        <f t="shared" si="22"/>
        <v>0</v>
      </c>
      <c r="W72" s="12">
        <f t="shared" si="23"/>
        <v>0</v>
      </c>
      <c r="X72" s="10">
        <f t="shared" si="24"/>
        <v>0</v>
      </c>
      <c r="Y72" s="10">
        <f t="shared" si="25"/>
        <v>0</v>
      </c>
      <c r="Z72" s="10">
        <f t="shared" si="26"/>
        <v>0</v>
      </c>
      <c r="AA72" s="10">
        <f t="shared" si="27"/>
        <v>0</v>
      </c>
      <c r="AB72" s="10">
        <f t="shared" si="28"/>
        <v>0</v>
      </c>
      <c r="AC72" s="10">
        <f t="shared" si="20"/>
        <v>0</v>
      </c>
      <c r="AD72" s="12">
        <f t="shared" si="19"/>
        <v>0</v>
      </c>
      <c r="AE72" s="10"/>
    </row>
    <row r="73" spans="1:31" x14ac:dyDescent="0.25">
      <c r="A73" s="8"/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11">
        <v>0</v>
      </c>
      <c r="J73" s="8">
        <v>0</v>
      </c>
      <c r="K73" s="8"/>
      <c r="L73" s="46"/>
      <c r="M73" s="6"/>
      <c r="N73" s="8"/>
      <c r="O73" s="11">
        <f t="shared" si="13"/>
        <v>0</v>
      </c>
      <c r="P73" s="11">
        <f t="shared" si="14"/>
        <v>0</v>
      </c>
      <c r="Q73" s="11">
        <f t="shared" si="15"/>
        <v>0</v>
      </c>
      <c r="R73" s="11">
        <f t="shared" si="16"/>
        <v>0</v>
      </c>
      <c r="S73" s="11">
        <f t="shared" si="21"/>
        <v>0</v>
      </c>
      <c r="T73" s="11">
        <f t="shared" si="17"/>
        <v>0</v>
      </c>
      <c r="U73" s="11">
        <f t="shared" si="18"/>
        <v>0</v>
      </c>
      <c r="V73" s="11">
        <f t="shared" si="22"/>
        <v>0</v>
      </c>
      <c r="W73" s="11">
        <f t="shared" si="23"/>
        <v>0</v>
      </c>
      <c r="X73" s="11">
        <f t="shared" si="24"/>
        <v>0</v>
      </c>
      <c r="Y73" s="11">
        <f t="shared" si="25"/>
        <v>0</v>
      </c>
      <c r="Z73" s="11">
        <f t="shared" si="26"/>
        <v>0</v>
      </c>
      <c r="AA73" s="11">
        <f t="shared" si="27"/>
        <v>0</v>
      </c>
      <c r="AB73" s="11">
        <f t="shared" si="28"/>
        <v>0</v>
      </c>
      <c r="AC73" s="11">
        <f t="shared" si="20"/>
        <v>0</v>
      </c>
      <c r="AD73" s="11">
        <f t="shared" si="19"/>
        <v>0</v>
      </c>
      <c r="AE73" s="11"/>
    </row>
    <row r="74" spans="1:31" x14ac:dyDescent="0.25">
      <c r="A74" s="6"/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9">
        <v>0</v>
      </c>
      <c r="J74" s="6">
        <v>0</v>
      </c>
      <c r="K74" s="6"/>
      <c r="L74" s="46"/>
      <c r="M74" s="6"/>
      <c r="N74" s="6"/>
      <c r="O74" s="9">
        <f t="shared" si="13"/>
        <v>0</v>
      </c>
      <c r="P74" s="9">
        <f t="shared" si="14"/>
        <v>0</v>
      </c>
      <c r="Q74" s="9">
        <f t="shared" si="15"/>
        <v>0</v>
      </c>
      <c r="R74" s="9">
        <f t="shared" si="16"/>
        <v>0</v>
      </c>
      <c r="S74" s="9">
        <f t="shared" si="21"/>
        <v>0</v>
      </c>
      <c r="T74" s="9">
        <f t="shared" si="17"/>
        <v>0</v>
      </c>
      <c r="U74" s="9">
        <f t="shared" si="18"/>
        <v>0</v>
      </c>
      <c r="V74" s="9">
        <f t="shared" si="22"/>
        <v>0</v>
      </c>
      <c r="W74" s="9">
        <f t="shared" si="23"/>
        <v>0</v>
      </c>
      <c r="X74" s="9">
        <f t="shared" si="24"/>
        <v>0</v>
      </c>
      <c r="Y74" s="9">
        <f t="shared" si="25"/>
        <v>0</v>
      </c>
      <c r="Z74" s="9">
        <f t="shared" si="26"/>
        <v>0</v>
      </c>
      <c r="AA74" s="9">
        <f t="shared" si="27"/>
        <v>0</v>
      </c>
      <c r="AB74" s="9">
        <f t="shared" si="28"/>
        <v>0</v>
      </c>
      <c r="AC74" s="9">
        <f t="shared" si="20"/>
        <v>0</v>
      </c>
      <c r="AD74" s="18">
        <f t="shared" si="19"/>
        <v>0</v>
      </c>
      <c r="AE74" s="9"/>
    </row>
    <row r="75" spans="1:31" x14ac:dyDescent="0.25">
      <c r="A75" s="7"/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12">
        <v>0</v>
      </c>
      <c r="J75" s="7">
        <v>0</v>
      </c>
      <c r="K75" s="7"/>
      <c r="L75" s="46"/>
      <c r="M75" s="6"/>
      <c r="N75" s="7"/>
      <c r="O75" s="12">
        <f t="shared" si="13"/>
        <v>0</v>
      </c>
      <c r="P75" s="12">
        <f t="shared" si="14"/>
        <v>0</v>
      </c>
      <c r="Q75" s="12">
        <f t="shared" si="15"/>
        <v>0</v>
      </c>
      <c r="R75" s="12">
        <f t="shared" si="16"/>
        <v>0</v>
      </c>
      <c r="S75" s="12">
        <f t="shared" si="21"/>
        <v>0</v>
      </c>
      <c r="T75" s="12">
        <f t="shared" si="17"/>
        <v>0</v>
      </c>
      <c r="U75" s="12">
        <f t="shared" si="18"/>
        <v>0</v>
      </c>
      <c r="V75" s="12">
        <f t="shared" si="22"/>
        <v>0</v>
      </c>
      <c r="W75" s="12">
        <f t="shared" si="23"/>
        <v>0</v>
      </c>
      <c r="X75" s="10">
        <f t="shared" si="24"/>
        <v>0</v>
      </c>
      <c r="Y75" s="10">
        <f t="shared" si="25"/>
        <v>0</v>
      </c>
      <c r="Z75" s="10">
        <f t="shared" si="26"/>
        <v>0</v>
      </c>
      <c r="AA75" s="10">
        <f t="shared" si="27"/>
        <v>0</v>
      </c>
      <c r="AB75" s="10">
        <f t="shared" si="28"/>
        <v>0</v>
      </c>
      <c r="AC75" s="10">
        <f t="shared" si="20"/>
        <v>0</v>
      </c>
      <c r="AD75" s="12">
        <f t="shared" si="19"/>
        <v>0</v>
      </c>
      <c r="AE75" s="10"/>
    </row>
    <row r="76" spans="1:31" x14ac:dyDescent="0.25">
      <c r="A76" s="8"/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11">
        <v>0</v>
      </c>
      <c r="J76" s="8">
        <v>0</v>
      </c>
      <c r="K76" s="8"/>
      <c r="L76" s="46"/>
      <c r="M76" s="6"/>
      <c r="N76" s="8"/>
      <c r="O76" s="11">
        <f t="shared" si="13"/>
        <v>0</v>
      </c>
      <c r="P76" s="11">
        <f t="shared" si="14"/>
        <v>0</v>
      </c>
      <c r="Q76" s="11">
        <f t="shared" si="15"/>
        <v>0</v>
      </c>
      <c r="R76" s="11">
        <f t="shared" si="16"/>
        <v>0</v>
      </c>
      <c r="S76" s="11">
        <f t="shared" si="21"/>
        <v>0</v>
      </c>
      <c r="T76" s="11">
        <f t="shared" si="17"/>
        <v>0</v>
      </c>
      <c r="U76" s="11">
        <f t="shared" si="18"/>
        <v>0</v>
      </c>
      <c r="V76" s="11">
        <f t="shared" si="22"/>
        <v>0</v>
      </c>
      <c r="W76" s="11">
        <f t="shared" si="23"/>
        <v>0</v>
      </c>
      <c r="X76" s="11">
        <f t="shared" si="24"/>
        <v>0</v>
      </c>
      <c r="Y76" s="11">
        <f t="shared" si="25"/>
        <v>0</v>
      </c>
      <c r="Z76" s="11">
        <f t="shared" si="26"/>
        <v>0</v>
      </c>
      <c r="AA76" s="11">
        <f t="shared" si="27"/>
        <v>0</v>
      </c>
      <c r="AB76" s="11">
        <f t="shared" si="28"/>
        <v>0</v>
      </c>
      <c r="AC76" s="11">
        <f t="shared" si="20"/>
        <v>0</v>
      </c>
      <c r="AD76" s="11">
        <f t="shared" si="19"/>
        <v>0</v>
      </c>
      <c r="AE76" s="11"/>
    </row>
    <row r="77" spans="1:31" x14ac:dyDescent="0.25">
      <c r="A77" s="6"/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9">
        <v>0</v>
      </c>
      <c r="J77" s="6">
        <v>0</v>
      </c>
      <c r="K77" s="6"/>
      <c r="L77" s="46"/>
      <c r="M77" s="6"/>
      <c r="N77" s="6"/>
      <c r="O77" s="9">
        <f t="shared" si="13"/>
        <v>0</v>
      </c>
      <c r="P77" s="9">
        <f t="shared" si="14"/>
        <v>0</v>
      </c>
      <c r="Q77" s="9">
        <f t="shared" si="15"/>
        <v>0</v>
      </c>
      <c r="R77" s="9">
        <f t="shared" si="16"/>
        <v>0</v>
      </c>
      <c r="S77" s="9">
        <f t="shared" si="21"/>
        <v>0</v>
      </c>
      <c r="T77" s="9">
        <f t="shared" si="17"/>
        <v>0</v>
      </c>
      <c r="U77" s="9">
        <f t="shared" si="18"/>
        <v>0</v>
      </c>
      <c r="V77" s="9">
        <f t="shared" si="22"/>
        <v>0</v>
      </c>
      <c r="W77" s="9">
        <f t="shared" si="23"/>
        <v>0</v>
      </c>
      <c r="X77" s="9">
        <f t="shared" si="24"/>
        <v>0</v>
      </c>
      <c r="Y77" s="9">
        <f t="shared" si="25"/>
        <v>0</v>
      </c>
      <c r="Z77" s="9">
        <f t="shared" si="26"/>
        <v>0</v>
      </c>
      <c r="AA77" s="9">
        <f t="shared" si="27"/>
        <v>0</v>
      </c>
      <c r="AB77" s="9">
        <f t="shared" si="28"/>
        <v>0</v>
      </c>
      <c r="AC77" s="9">
        <f t="shared" si="20"/>
        <v>0</v>
      </c>
      <c r="AD77" s="18">
        <f t="shared" si="19"/>
        <v>0</v>
      </c>
      <c r="AE77" s="9"/>
    </row>
    <row r="78" spans="1:31" x14ac:dyDescent="0.25">
      <c r="A78" s="7"/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12">
        <v>0</v>
      </c>
      <c r="J78" s="7">
        <v>0</v>
      </c>
      <c r="K78" s="7"/>
      <c r="L78" s="46"/>
      <c r="M78" s="6"/>
      <c r="N78" s="7"/>
      <c r="O78" s="12">
        <f t="shared" si="13"/>
        <v>0</v>
      </c>
      <c r="P78" s="12">
        <f t="shared" si="14"/>
        <v>0</v>
      </c>
      <c r="Q78" s="12">
        <f t="shared" si="15"/>
        <v>0</v>
      </c>
      <c r="R78" s="12">
        <f t="shared" si="16"/>
        <v>0</v>
      </c>
      <c r="S78" s="12">
        <f t="shared" si="21"/>
        <v>0</v>
      </c>
      <c r="T78" s="12">
        <f t="shared" si="17"/>
        <v>0</v>
      </c>
      <c r="U78" s="12">
        <f t="shared" si="18"/>
        <v>0</v>
      </c>
      <c r="V78" s="12">
        <f t="shared" si="22"/>
        <v>0</v>
      </c>
      <c r="W78" s="12">
        <f t="shared" si="23"/>
        <v>0</v>
      </c>
      <c r="X78" s="10">
        <f t="shared" si="24"/>
        <v>0</v>
      </c>
      <c r="Y78" s="10">
        <f t="shared" si="25"/>
        <v>0</v>
      </c>
      <c r="Z78" s="10">
        <f t="shared" si="26"/>
        <v>0</v>
      </c>
      <c r="AA78" s="10">
        <f t="shared" si="27"/>
        <v>0</v>
      </c>
      <c r="AB78" s="10">
        <f t="shared" si="28"/>
        <v>0</v>
      </c>
      <c r="AC78" s="10">
        <f t="shared" si="20"/>
        <v>0</v>
      </c>
      <c r="AD78" s="12">
        <f t="shared" si="19"/>
        <v>0</v>
      </c>
      <c r="AE78" s="10"/>
    </row>
    <row r="79" spans="1:31" x14ac:dyDescent="0.25">
      <c r="A79" s="8"/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11">
        <v>0</v>
      </c>
      <c r="J79" s="8">
        <v>0</v>
      </c>
      <c r="K79" s="8"/>
      <c r="L79" s="46"/>
      <c r="M79" s="6"/>
      <c r="N79" s="8"/>
      <c r="O79" s="11">
        <f t="shared" si="13"/>
        <v>0</v>
      </c>
      <c r="P79" s="11">
        <f t="shared" si="14"/>
        <v>0</v>
      </c>
      <c r="Q79" s="11">
        <f t="shared" si="15"/>
        <v>0</v>
      </c>
      <c r="R79" s="11">
        <f t="shared" si="16"/>
        <v>0</v>
      </c>
      <c r="S79" s="11">
        <f t="shared" si="21"/>
        <v>0</v>
      </c>
      <c r="T79" s="11">
        <f t="shared" si="17"/>
        <v>0</v>
      </c>
      <c r="U79" s="11">
        <f t="shared" si="18"/>
        <v>0</v>
      </c>
      <c r="V79" s="11">
        <f t="shared" si="22"/>
        <v>0</v>
      </c>
      <c r="W79" s="11">
        <f t="shared" si="23"/>
        <v>0</v>
      </c>
      <c r="X79" s="11">
        <f t="shared" si="24"/>
        <v>0</v>
      </c>
      <c r="Y79" s="11">
        <f t="shared" si="25"/>
        <v>0</v>
      </c>
      <c r="Z79" s="11">
        <f t="shared" si="26"/>
        <v>0</v>
      </c>
      <c r="AA79" s="11">
        <f t="shared" si="27"/>
        <v>0</v>
      </c>
      <c r="AB79" s="11">
        <f t="shared" si="28"/>
        <v>0</v>
      </c>
      <c r="AC79" s="11">
        <f t="shared" si="20"/>
        <v>0</v>
      </c>
      <c r="AD79" s="11">
        <f t="shared" si="19"/>
        <v>0</v>
      </c>
      <c r="AE79" s="11"/>
    </row>
    <row r="80" spans="1:31" x14ac:dyDescent="0.25">
      <c r="A80" s="6"/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9">
        <v>0</v>
      </c>
      <c r="J80" s="6">
        <v>0</v>
      </c>
      <c r="K80" s="6"/>
      <c r="L80" s="46"/>
      <c r="M80" s="6"/>
      <c r="N80" s="6"/>
      <c r="O80" s="9">
        <f t="shared" si="13"/>
        <v>0</v>
      </c>
      <c r="P80" s="9">
        <f t="shared" si="14"/>
        <v>0</v>
      </c>
      <c r="Q80" s="9">
        <f t="shared" si="15"/>
        <v>0</v>
      </c>
      <c r="R80" s="9">
        <f t="shared" si="16"/>
        <v>0</v>
      </c>
      <c r="S80" s="9">
        <f t="shared" si="21"/>
        <v>0</v>
      </c>
      <c r="T80" s="9">
        <f t="shared" si="17"/>
        <v>0</v>
      </c>
      <c r="U80" s="9">
        <f t="shared" si="18"/>
        <v>0</v>
      </c>
      <c r="V80" s="9">
        <f t="shared" si="22"/>
        <v>0</v>
      </c>
      <c r="W80" s="9">
        <f t="shared" si="23"/>
        <v>0</v>
      </c>
      <c r="X80" s="9">
        <f t="shared" si="24"/>
        <v>0</v>
      </c>
      <c r="Y80" s="9">
        <f t="shared" si="25"/>
        <v>0</v>
      </c>
      <c r="Z80" s="9">
        <f t="shared" si="26"/>
        <v>0</v>
      </c>
      <c r="AA80" s="9">
        <f t="shared" si="27"/>
        <v>0</v>
      </c>
      <c r="AB80" s="9">
        <f t="shared" si="28"/>
        <v>0</v>
      </c>
      <c r="AC80" s="9">
        <f t="shared" si="20"/>
        <v>0</v>
      </c>
      <c r="AD80" s="18">
        <f t="shared" si="19"/>
        <v>0</v>
      </c>
      <c r="AE80" s="9"/>
    </row>
    <row r="81" spans="1:31" x14ac:dyDescent="0.25">
      <c r="A81" s="7"/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12">
        <v>0</v>
      </c>
      <c r="J81" s="7">
        <v>0</v>
      </c>
      <c r="K81" s="7"/>
      <c r="L81" s="46"/>
      <c r="M81" s="6"/>
      <c r="N81" s="7"/>
      <c r="O81" s="12">
        <f t="shared" si="13"/>
        <v>0</v>
      </c>
      <c r="P81" s="12">
        <f t="shared" si="14"/>
        <v>0</v>
      </c>
      <c r="Q81" s="12">
        <f t="shared" si="15"/>
        <v>0</v>
      </c>
      <c r="R81" s="12">
        <f t="shared" si="16"/>
        <v>0</v>
      </c>
      <c r="S81" s="12">
        <f t="shared" si="21"/>
        <v>0</v>
      </c>
      <c r="T81" s="12">
        <f t="shared" si="17"/>
        <v>0</v>
      </c>
      <c r="U81" s="12">
        <f t="shared" si="18"/>
        <v>0</v>
      </c>
      <c r="V81" s="12">
        <f t="shared" si="22"/>
        <v>0</v>
      </c>
      <c r="W81" s="12">
        <f t="shared" si="23"/>
        <v>0</v>
      </c>
      <c r="X81" s="10">
        <f t="shared" si="24"/>
        <v>0</v>
      </c>
      <c r="Y81" s="10">
        <f t="shared" si="25"/>
        <v>0</v>
      </c>
      <c r="Z81" s="10">
        <f t="shared" si="26"/>
        <v>0</v>
      </c>
      <c r="AA81" s="10">
        <f t="shared" si="27"/>
        <v>0</v>
      </c>
      <c r="AB81" s="10">
        <f t="shared" si="28"/>
        <v>0</v>
      </c>
      <c r="AC81" s="10">
        <f t="shared" si="20"/>
        <v>0</v>
      </c>
      <c r="AD81" s="12">
        <f t="shared" si="19"/>
        <v>0</v>
      </c>
      <c r="AE81" s="10"/>
    </row>
    <row r="82" spans="1:31" x14ac:dyDescent="0.25">
      <c r="A82" s="8"/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11">
        <v>0</v>
      </c>
      <c r="J82" s="8">
        <v>0</v>
      </c>
      <c r="K82" s="8"/>
      <c r="L82" s="46"/>
      <c r="M82" s="6"/>
      <c r="N82" s="8"/>
      <c r="O82" s="11">
        <f t="shared" si="13"/>
        <v>0</v>
      </c>
      <c r="P82" s="11">
        <f t="shared" si="14"/>
        <v>0</v>
      </c>
      <c r="Q82" s="11">
        <f t="shared" si="15"/>
        <v>0</v>
      </c>
      <c r="R82" s="11">
        <f t="shared" si="16"/>
        <v>0</v>
      </c>
      <c r="S82" s="11">
        <f t="shared" si="21"/>
        <v>0</v>
      </c>
      <c r="T82" s="11">
        <f t="shared" si="17"/>
        <v>0</v>
      </c>
      <c r="U82" s="11">
        <f t="shared" si="18"/>
        <v>0</v>
      </c>
      <c r="V82" s="11">
        <f t="shared" si="22"/>
        <v>0</v>
      </c>
      <c r="W82" s="11">
        <f t="shared" si="23"/>
        <v>0</v>
      </c>
      <c r="X82" s="11">
        <f t="shared" si="24"/>
        <v>0</v>
      </c>
      <c r="Y82" s="11">
        <f t="shared" si="25"/>
        <v>0</v>
      </c>
      <c r="Z82" s="11">
        <f t="shared" si="26"/>
        <v>0</v>
      </c>
      <c r="AA82" s="11">
        <f t="shared" si="27"/>
        <v>0</v>
      </c>
      <c r="AB82" s="11">
        <f t="shared" si="28"/>
        <v>0</v>
      </c>
      <c r="AC82" s="11">
        <f t="shared" si="20"/>
        <v>0</v>
      </c>
      <c r="AD82" s="11">
        <f t="shared" si="19"/>
        <v>0</v>
      </c>
      <c r="AE82" s="11"/>
    </row>
    <row r="86" spans="1:31" s="42" customFormat="1" ht="27.75" customHeight="1" x14ac:dyDescent="0.25">
      <c r="A86" s="44" t="s">
        <v>53</v>
      </c>
      <c r="B86" s="44">
        <f>SUM(B53:B82)</f>
        <v>0</v>
      </c>
      <c r="C86" s="44">
        <f t="shared" ref="C86:AB86" si="29">SUM(C53:C82)</f>
        <v>14</v>
      </c>
      <c r="D86" s="44">
        <f t="shared" si="29"/>
        <v>4</v>
      </c>
      <c r="E86" s="44">
        <f t="shared" si="29"/>
        <v>0</v>
      </c>
      <c r="F86" s="44">
        <f t="shared" si="29"/>
        <v>0</v>
      </c>
      <c r="G86" s="44">
        <f t="shared" si="29"/>
        <v>0</v>
      </c>
      <c r="H86" s="44">
        <f t="shared" si="29"/>
        <v>0</v>
      </c>
      <c r="I86" s="44">
        <f t="shared" si="29"/>
        <v>0</v>
      </c>
      <c r="J86" s="44">
        <f t="shared" si="29"/>
        <v>20</v>
      </c>
      <c r="K86" s="44">
        <f t="shared" si="29"/>
        <v>0</v>
      </c>
      <c r="L86" s="44">
        <f t="shared" si="29"/>
        <v>0</v>
      </c>
      <c r="M86" s="44">
        <f t="shared" si="29"/>
        <v>0</v>
      </c>
      <c r="N86" s="44">
        <f t="shared" si="29"/>
        <v>0</v>
      </c>
      <c r="O86" s="45">
        <f t="shared" si="29"/>
        <v>420</v>
      </c>
      <c r="P86" s="45">
        <f t="shared" si="29"/>
        <v>152</v>
      </c>
      <c r="Q86" s="45">
        <f t="shared" si="29"/>
        <v>0</v>
      </c>
      <c r="R86" s="45">
        <f t="shared" si="29"/>
        <v>0</v>
      </c>
      <c r="S86" s="45">
        <f t="shared" si="29"/>
        <v>0</v>
      </c>
      <c r="T86" s="45">
        <f t="shared" si="29"/>
        <v>540</v>
      </c>
      <c r="U86" s="45">
        <f t="shared" si="29"/>
        <v>0</v>
      </c>
      <c r="V86" s="45">
        <f t="shared" si="29"/>
        <v>0</v>
      </c>
      <c r="W86" s="45">
        <f t="shared" si="29"/>
        <v>0</v>
      </c>
      <c r="X86" s="45">
        <f t="shared" si="29"/>
        <v>0</v>
      </c>
      <c r="Y86" s="45">
        <f t="shared" si="29"/>
        <v>40</v>
      </c>
      <c r="Z86" s="45">
        <f t="shared" si="29"/>
        <v>0</v>
      </c>
      <c r="AA86" s="45">
        <f t="shared" si="29"/>
        <v>0</v>
      </c>
      <c r="AB86" s="45">
        <f t="shared" si="29"/>
        <v>44.800000000000004</v>
      </c>
      <c r="AC86" s="45">
        <f>SUM(AD53:AD82)</f>
        <v>1196.8</v>
      </c>
      <c r="AD86" s="45">
        <f>SUM(AE53:AE82)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Alerta de Seguridad - 2024</dc:creator>
  <cp:lastModifiedBy>Deportes Herrera HERRERA</cp:lastModifiedBy>
  <dcterms:created xsi:type="dcterms:W3CDTF">2025-10-06T16:11:51Z</dcterms:created>
  <dcterms:modified xsi:type="dcterms:W3CDTF">2025-12-23T00:55:59Z</dcterms:modified>
</cp:coreProperties>
</file>